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haragrplimited-my.sharepoint.com/personal/abiba_badmus_sahara-group_com/Documents/Documents/All Documents/Abiba/ABIBA - LBS/TERM 1/2. DA - DATA ANALYSIS/"/>
    </mc:Choice>
  </mc:AlternateContent>
  <xr:revisionPtr revIDLastSave="574" documentId="8_{A7FDE93A-17A5-4173-B366-81A035831F07}" xr6:coauthVersionLast="47" xr6:coauthVersionMax="47" xr10:uidLastSave="{932B7874-097A-45D6-BFFF-42F055CEF863}"/>
  <bookViews>
    <workbookView xWindow="-110" yWindow="-110" windowWidth="19420" windowHeight="10300" xr2:uid="{3EA0F6CA-236B-41FB-A95D-BC7497C0EEF5}"/>
  </bookViews>
  <sheets>
    <sheet name="Data Information" sheetId="2" r:id="rId1"/>
    <sheet name="Production vs Evacuation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131" i="1" l="1"/>
  <c r="AB131" i="1"/>
  <c r="AD126" i="1"/>
  <c r="AD127" i="1"/>
  <c r="AD128" i="1"/>
  <c r="AD129" i="1"/>
  <c r="AD130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AC6" i="1"/>
  <c r="AB6" i="1"/>
  <c r="AA6" i="1"/>
  <c r="Z6" i="1"/>
  <c r="Y6" i="1"/>
  <c r="M131" i="1"/>
  <c r="X131" i="1"/>
  <c r="W131" i="1"/>
  <c r="U131" i="1"/>
  <c r="T131" i="1"/>
  <c r="S131" i="1"/>
  <c r="V131" i="1" s="1"/>
  <c r="Q131" i="1"/>
  <c r="P131" i="1"/>
  <c r="N131" i="1"/>
  <c r="L131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X65" i="1"/>
  <c r="M65" i="1"/>
  <c r="X37" i="1"/>
  <c r="X6" i="1"/>
  <c r="M6" i="1"/>
  <c r="M125" i="1" l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96" i="1"/>
  <c r="X119" i="1"/>
  <c r="X120" i="1"/>
  <c r="X121" i="1"/>
  <c r="X122" i="1"/>
  <c r="X123" i="1"/>
  <c r="X124" i="1"/>
  <c r="X125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96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6" i="1"/>
  <c r="F131" i="1"/>
  <c r="C131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J6" i="1"/>
  <c r="I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6" i="1"/>
  <c r="Y131" i="1"/>
  <c r="D131" i="1"/>
  <c r="R131" i="1"/>
  <c r="O131" i="1"/>
  <c r="G131" i="1"/>
  <c r="K83" i="1" l="1"/>
  <c r="V81" i="1"/>
  <c r="K95" i="1"/>
  <c r="K6" i="1"/>
  <c r="K71" i="1"/>
  <c r="V70" i="1"/>
  <c r="V52" i="1"/>
  <c r="K122" i="1"/>
  <c r="K110" i="1"/>
  <c r="K98" i="1"/>
  <c r="K86" i="1"/>
  <c r="K74" i="1"/>
  <c r="K62" i="1"/>
  <c r="K50" i="1"/>
  <c r="K38" i="1"/>
  <c r="K26" i="1"/>
  <c r="K14" i="1"/>
  <c r="K127" i="1"/>
  <c r="K115" i="1"/>
  <c r="K103" i="1"/>
  <c r="K91" i="1"/>
  <c r="K79" i="1"/>
  <c r="K67" i="1"/>
  <c r="K55" i="1"/>
  <c r="K43" i="1"/>
  <c r="K31" i="1"/>
  <c r="K19" i="1"/>
  <c r="V120" i="1"/>
  <c r="V108" i="1"/>
  <c r="V96" i="1"/>
  <c r="V84" i="1"/>
  <c r="V72" i="1"/>
  <c r="V60" i="1"/>
  <c r="V48" i="1"/>
  <c r="V36" i="1"/>
  <c r="V24" i="1"/>
  <c r="V12" i="1"/>
  <c r="K121" i="1"/>
  <c r="K97" i="1"/>
  <c r="K85" i="1"/>
  <c r="K61" i="1"/>
  <c r="K49" i="1"/>
  <c r="K37" i="1"/>
  <c r="K25" i="1"/>
  <c r="K13" i="1"/>
  <c r="K126" i="1"/>
  <c r="K114" i="1"/>
  <c r="K102" i="1"/>
  <c r="K90" i="1"/>
  <c r="K78" i="1"/>
  <c r="K66" i="1"/>
  <c r="K54" i="1"/>
  <c r="K42" i="1"/>
  <c r="K30" i="1"/>
  <c r="K18" i="1"/>
  <c r="V6" i="1"/>
  <c r="V119" i="1"/>
  <c r="V107" i="1"/>
  <c r="V95" i="1"/>
  <c r="V83" i="1"/>
  <c r="V71" i="1"/>
  <c r="V59" i="1"/>
  <c r="V47" i="1"/>
  <c r="V35" i="1"/>
  <c r="V23" i="1"/>
  <c r="V11" i="1"/>
  <c r="V124" i="1"/>
  <c r="V100" i="1"/>
  <c r="V88" i="1"/>
  <c r="V76" i="1"/>
  <c r="V40" i="1"/>
  <c r="V28" i="1"/>
  <c r="K120" i="1"/>
  <c r="K108" i="1"/>
  <c r="K96" i="1"/>
  <c r="K84" i="1"/>
  <c r="K72" i="1"/>
  <c r="K60" i="1"/>
  <c r="K48" i="1"/>
  <c r="K36" i="1"/>
  <c r="K24" i="1"/>
  <c r="K12" i="1"/>
  <c r="V130" i="1"/>
  <c r="V118" i="1"/>
  <c r="V106" i="1"/>
  <c r="V94" i="1"/>
  <c r="V82" i="1"/>
  <c r="V58" i="1"/>
  <c r="V46" i="1"/>
  <c r="V34" i="1"/>
  <c r="V22" i="1"/>
  <c r="V10" i="1"/>
  <c r="K109" i="1"/>
  <c r="K73" i="1"/>
  <c r="K119" i="1"/>
  <c r="K107" i="1"/>
  <c r="K59" i="1"/>
  <c r="K47" i="1"/>
  <c r="K35" i="1"/>
  <c r="K23" i="1"/>
  <c r="K11" i="1"/>
  <c r="V129" i="1"/>
  <c r="V117" i="1"/>
  <c r="V105" i="1"/>
  <c r="V93" i="1"/>
  <c r="V69" i="1"/>
  <c r="V57" i="1"/>
  <c r="V45" i="1"/>
  <c r="V33" i="1"/>
  <c r="V21" i="1"/>
  <c r="V9" i="1"/>
  <c r="V126" i="1"/>
  <c r="V114" i="1"/>
  <c r="V102" i="1"/>
  <c r="V90" i="1"/>
  <c r="V78" i="1"/>
  <c r="V66" i="1"/>
  <c r="V54" i="1"/>
  <c r="V30" i="1"/>
  <c r="V18" i="1"/>
  <c r="V42" i="1"/>
  <c r="V112" i="1"/>
  <c r="V64" i="1"/>
  <c r="V16" i="1"/>
  <c r="V113" i="1"/>
  <c r="V89" i="1"/>
  <c r="V77" i="1"/>
  <c r="V53" i="1"/>
  <c r="V41" i="1"/>
  <c r="V17" i="1"/>
  <c r="K125" i="1"/>
  <c r="K113" i="1"/>
  <c r="K101" i="1"/>
  <c r="K89" i="1"/>
  <c r="K77" i="1"/>
  <c r="K65" i="1"/>
  <c r="K53" i="1"/>
  <c r="K41" i="1"/>
  <c r="K29" i="1"/>
  <c r="K17" i="1"/>
  <c r="K130" i="1"/>
  <c r="K118" i="1"/>
  <c r="K106" i="1"/>
  <c r="K94" i="1"/>
  <c r="K82" i="1"/>
  <c r="K70" i="1"/>
  <c r="K58" i="1"/>
  <c r="K46" i="1"/>
  <c r="K34" i="1"/>
  <c r="K22" i="1"/>
  <c r="K10" i="1"/>
  <c r="V123" i="1"/>
  <c r="V111" i="1"/>
  <c r="V99" i="1"/>
  <c r="V87" i="1"/>
  <c r="V75" i="1"/>
  <c r="V63" i="1"/>
  <c r="V51" i="1"/>
  <c r="V39" i="1"/>
  <c r="V27" i="1"/>
  <c r="V15" i="1"/>
  <c r="V128" i="1"/>
  <c r="V116" i="1"/>
  <c r="V104" i="1"/>
  <c r="V92" i="1"/>
  <c r="V80" i="1"/>
  <c r="V68" i="1"/>
  <c r="V56" i="1"/>
  <c r="V44" i="1"/>
  <c r="V32" i="1"/>
  <c r="V20" i="1"/>
  <c r="V8" i="1"/>
  <c r="V125" i="1"/>
  <c r="V101" i="1"/>
  <c r="V65" i="1"/>
  <c r="V29" i="1"/>
  <c r="K124" i="1"/>
  <c r="K112" i="1"/>
  <c r="K100" i="1"/>
  <c r="K88" i="1"/>
  <c r="K76" i="1"/>
  <c r="K64" i="1"/>
  <c r="K52" i="1"/>
  <c r="K40" i="1"/>
  <c r="K28" i="1"/>
  <c r="K16" i="1"/>
  <c r="K129" i="1"/>
  <c r="K117" i="1"/>
  <c r="K105" i="1"/>
  <c r="K93" i="1"/>
  <c r="K81" i="1"/>
  <c r="K69" i="1"/>
  <c r="K57" i="1"/>
  <c r="K45" i="1"/>
  <c r="K33" i="1"/>
  <c r="K21" i="1"/>
  <c r="K9" i="1"/>
  <c r="V122" i="1"/>
  <c r="V110" i="1"/>
  <c r="V98" i="1"/>
  <c r="V86" i="1"/>
  <c r="V74" i="1"/>
  <c r="V62" i="1"/>
  <c r="V50" i="1"/>
  <c r="V38" i="1"/>
  <c r="V26" i="1"/>
  <c r="V14" i="1"/>
  <c r="V127" i="1"/>
  <c r="V115" i="1"/>
  <c r="V103" i="1"/>
  <c r="V91" i="1"/>
  <c r="V79" i="1"/>
  <c r="V67" i="1"/>
  <c r="V55" i="1"/>
  <c r="V43" i="1"/>
  <c r="V31" i="1"/>
  <c r="V19" i="1"/>
  <c r="V7" i="1"/>
  <c r="K123" i="1"/>
  <c r="K111" i="1"/>
  <c r="K99" i="1"/>
  <c r="K87" i="1"/>
  <c r="K75" i="1"/>
  <c r="K63" i="1"/>
  <c r="K51" i="1"/>
  <c r="K39" i="1"/>
  <c r="K27" i="1"/>
  <c r="K15" i="1"/>
  <c r="K128" i="1"/>
  <c r="K116" i="1"/>
  <c r="K104" i="1"/>
  <c r="K92" i="1"/>
  <c r="K80" i="1"/>
  <c r="K68" i="1"/>
  <c r="K56" i="1"/>
  <c r="K44" i="1"/>
  <c r="K32" i="1"/>
  <c r="K20" i="1"/>
  <c r="K8" i="1"/>
  <c r="V121" i="1"/>
  <c r="V109" i="1"/>
  <c r="V97" i="1"/>
  <c r="V85" i="1"/>
  <c r="V73" i="1"/>
  <c r="V61" i="1"/>
  <c r="V49" i="1"/>
  <c r="V37" i="1"/>
  <c r="V25" i="1"/>
  <c r="V13" i="1"/>
  <c r="I131" i="1"/>
  <c r="H131" i="1"/>
  <c r="E131" i="1"/>
  <c r="J131" i="1"/>
  <c r="K7" i="1"/>
  <c r="K131" i="1" l="1"/>
  <c r="Z131" i="1" l="1"/>
  <c r="AA131" i="1"/>
</calcChain>
</file>

<file path=xl/sharedStrings.xml><?xml version="1.0" encoding="utf-8"?>
<sst xmlns="http://schemas.openxmlformats.org/spreadsheetml/2006/main" count="86" uniqueCount="58">
  <si>
    <t>DATE</t>
  </si>
  <si>
    <t>ACTUAL</t>
  </si>
  <si>
    <t>BUDGET</t>
  </si>
  <si>
    <t>VARIANCE</t>
  </si>
  <si>
    <t>EVACUATION CAPACITY</t>
  </si>
  <si>
    <t>EVACUATION UTILIZATION</t>
  </si>
  <si>
    <t xml:space="preserve">ZONE 1 EVACUATION </t>
  </si>
  <si>
    <t>ZONE 1 CRUDE OIL PRODUCTION VS EVACUATION FIGURES</t>
  </si>
  <si>
    <t>ZONE 2 CRUDE OIL PRODUCTION VS EVACUATION FIGURES</t>
  </si>
  <si>
    <t>TOTAL ZONE 2 PRODUCTION</t>
  </si>
  <si>
    <t xml:space="preserve">ZONE 2 EVACUATION </t>
  </si>
  <si>
    <t>Not Available</t>
  </si>
  <si>
    <t xml:space="preserve">TOTAL BUDGET PRODUCTION FOR ZONE 1 &amp;2 </t>
  </si>
  <si>
    <t xml:space="preserve">TOTAL ACTUAL PRODUCTION  FOR ZONE 1 &amp;2 </t>
  </si>
  <si>
    <t xml:space="preserve">TOTAL VARIANCE </t>
  </si>
  <si>
    <t>ZONE 1 AND ZONE 2</t>
  </si>
  <si>
    <t xml:space="preserve">TOTAL EVACUATION CAPACITY ZONE 1 &amp;2 </t>
  </si>
  <si>
    <t>TOTAL AVERAGE MONTHLY EVACUATION UTILIZATION ZONE 1 AND 2</t>
  </si>
  <si>
    <t>EVACUATION CAPACITY - &gt;150% OF PRODUCTION BUDGET</t>
  </si>
  <si>
    <t>Abiba Badmus</t>
  </si>
  <si>
    <t>2026/31/E/1647</t>
  </si>
  <si>
    <t>Dataset Name:</t>
  </si>
  <si>
    <t>Observations (Rows):</t>
  </si>
  <si>
    <t xml:space="preserve">Variables (Columns): </t>
  </si>
  <si>
    <t xml:space="preserve">30 variables across multiple zones and channels </t>
  </si>
  <si>
    <t>Time Period</t>
  </si>
  <si>
    <t xml:space="preserve">Data Type: </t>
  </si>
  <si>
    <t xml:space="preserve">Real operational/production data from OML 18 oil &amp; gas operations  </t>
  </si>
  <si>
    <t>Student:</t>
  </si>
  <si>
    <t>Matric No:</t>
  </si>
  <si>
    <t>Role:</t>
  </si>
  <si>
    <t>Head, Alternative Crude Oil Evacuation</t>
  </si>
  <si>
    <t xml:space="preserve">Primary Data Requirement </t>
  </si>
  <si>
    <t>Daily and Monthly Crude Oil Production and Evacuation Reports</t>
  </si>
  <si>
    <t>Exploratory &amp; Inferential Analytics</t>
  </si>
  <si>
    <t xml:space="preserve">Case Study 1: </t>
  </si>
  <si>
    <t>DATA INFORMATION</t>
  </si>
  <si>
    <t>Reasons</t>
  </si>
  <si>
    <t xml:space="preserve">Time series with natural patterns </t>
  </si>
  <si>
    <t>Chronological production trends</t>
  </si>
  <si>
    <t>Multiple comparable zones/channels</t>
  </si>
  <si>
    <t>Clear business context</t>
  </si>
  <si>
    <t>Natural regression (Budget vs Actual)</t>
  </si>
  <si>
    <t xml:space="preserve">Data structure strength via the  Budget/Actual/Variance columns </t>
  </si>
  <si>
    <t>Five techniques for the E&amp;I Analysis</t>
  </si>
  <si>
    <r>
      <t xml:space="preserve">1. EDA: </t>
    </r>
    <r>
      <rPr>
        <sz val="11"/>
        <color theme="1"/>
        <rFont val="Myriad Pro sg"/>
        <family val="2"/>
      </rPr>
      <t>Distribution of production/evacuation by zone, missing values, outlier detection</t>
    </r>
  </si>
  <si>
    <r>
      <t xml:space="preserve">2. Visualisation: </t>
    </r>
    <r>
      <rPr>
        <sz val="11"/>
        <color theme="1"/>
        <rFont val="Myriad Pro sg"/>
        <family val="2"/>
      </rPr>
      <t>Heatmaps of zone performance, time series plots, variance analysis charts</t>
    </r>
  </si>
  <si>
    <r>
      <t>3. Hypothesis Testing:</t>
    </r>
    <r>
      <rPr>
        <sz val="11"/>
        <color theme="1"/>
        <rFont val="Myriad Pro sg"/>
        <family val="2"/>
      </rPr>
      <t xml:space="preserve"> T-tests comparing zone performance; ANOVA across channels; Chi-squared on capacity constraint violations</t>
    </r>
  </si>
  <si>
    <r>
      <t>4. Correlation:</t>
    </r>
    <r>
      <rPr>
        <sz val="11"/>
        <color theme="1"/>
        <rFont val="Myriad Pro sg"/>
        <family val="2"/>
      </rPr>
      <t xml:space="preserve"> Relationship between budget and actual, production vs evacuation capacity</t>
    </r>
  </si>
  <si>
    <r>
      <t xml:space="preserve">5. Regression: </t>
    </r>
    <r>
      <rPr>
        <sz val="11"/>
        <color theme="1"/>
        <rFont val="Myriad Pro sg"/>
        <family val="2"/>
      </rPr>
      <t>Predict daily actual production from budget, zone, evacuation capacity</t>
    </r>
  </si>
  <si>
    <t xml:space="preserve">125 daily records </t>
  </si>
  <si>
    <t>Crude Oil Production vs Evacuation Report</t>
  </si>
  <si>
    <t xml:space="preserve">January 2026 - May 5 2026 </t>
  </si>
  <si>
    <t>ALK</t>
  </si>
  <si>
    <t>CC1</t>
  </si>
  <si>
    <t>CC2</t>
  </si>
  <si>
    <t>CC3</t>
  </si>
  <si>
    <t>CRUDE OIL PRODUCTION VS EVACUATION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</si>
</sst>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]d\ mmm\ yyyy;@" x16r2:formatCode16="[$-en-NG,1]d\ mmm\ yyyy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Myriad Pro sg"/>
      <family val="2"/>
    </font>
    <font>
      <sz val="11"/>
      <color theme="1"/>
      <name val="Myriad Pro sg"/>
      <family val="2"/>
    </font>
    <font>
      <sz val="11"/>
      <color rgb="FF000000"/>
      <name val="Myriad Pro sg"/>
      <family val="2"/>
    </font>
    <font>
      <b/>
      <sz val="13.5"/>
      <color theme="1"/>
      <name val="Myriad Pro sg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9">
    <xf numFmtId="0" fontId="0" fillId="0" borderId="0" xfId="0"/>
    <xf numFmtId="43" fontId="3" fillId="0" borderId="1" xfId="1" applyFont="1" applyBorder="1"/>
    <xf numFmtId="43" fontId="4" fillId="0" borderId="1" xfId="1" applyFont="1" applyBorder="1" applyAlignment="1">
      <alignment horizontal="center" vertical="center"/>
    </xf>
    <xf numFmtId="43" fontId="3" fillId="0" borderId="2" xfId="1" applyFont="1" applyBorder="1"/>
    <xf numFmtId="0" fontId="3" fillId="0" borderId="1" xfId="0" applyFont="1" applyBorder="1"/>
    <xf numFmtId="0" fontId="3" fillId="0" borderId="0" xfId="0" applyFont="1"/>
    <xf numFmtId="2" fontId="3" fillId="3" borderId="0" xfId="0" applyNumberFormat="1" applyFont="1" applyFill="1"/>
    <xf numFmtId="164" fontId="3" fillId="2" borderId="4" xfId="0" applyNumberFormat="1" applyFont="1" applyFill="1" applyBorder="1"/>
    <xf numFmtId="0" fontId="3" fillId="0" borderId="4" xfId="0" applyFont="1" applyBorder="1"/>
    <xf numFmtId="43" fontId="3" fillId="0" borderId="5" xfId="1" applyFont="1" applyBorder="1"/>
    <xf numFmtId="2" fontId="3" fillId="3" borderId="6" xfId="0" applyNumberFormat="1" applyFont="1" applyFill="1" applyBorder="1"/>
    <xf numFmtId="43" fontId="3" fillId="0" borderId="7" xfId="1" applyFont="1" applyBorder="1"/>
    <xf numFmtId="43" fontId="3" fillId="0" borderId="8" xfId="1" applyFont="1" applyBorder="1"/>
    <xf numFmtId="2" fontId="3" fillId="3" borderId="9" xfId="0" applyNumberFormat="1" applyFont="1" applyFill="1" applyBorder="1"/>
    <xf numFmtId="43" fontId="3" fillId="0" borderId="15" xfId="1" applyFont="1" applyBorder="1"/>
    <xf numFmtId="43" fontId="3" fillId="0" borderId="6" xfId="1" applyFont="1" applyBorder="1"/>
    <xf numFmtId="43" fontId="3" fillId="0" borderId="4" xfId="1" applyFont="1" applyBorder="1"/>
    <xf numFmtId="43" fontId="3" fillId="0" borderId="14" xfId="1" applyFont="1" applyBorder="1"/>
    <xf numFmtId="43" fontId="3" fillId="0" borderId="24" xfId="1" applyFont="1" applyBorder="1"/>
    <xf numFmtId="0" fontId="3" fillId="0" borderId="0" xfId="0" applyFont="1" applyAlignment="1">
      <alignment horizontal="center" wrapText="1"/>
    </xf>
    <xf numFmtId="43" fontId="4" fillId="0" borderId="5" xfId="1" applyFont="1" applyBorder="1" applyAlignment="1">
      <alignment horizontal="center" vertical="center"/>
    </xf>
    <xf numFmtId="43" fontId="4" fillId="0" borderId="6" xfId="1" applyFont="1" applyBorder="1" applyAlignment="1">
      <alignment horizontal="center" vertical="center"/>
    </xf>
    <xf numFmtId="43" fontId="4" fillId="0" borderId="7" xfId="1" applyFont="1" applyBorder="1" applyAlignment="1">
      <alignment horizontal="center" vertical="center"/>
    </xf>
    <xf numFmtId="0" fontId="3" fillId="0" borderId="5" xfId="0" applyFont="1" applyBorder="1"/>
    <xf numFmtId="2" fontId="3" fillId="3" borderId="25" xfId="0" applyNumberFormat="1" applyFont="1" applyFill="1" applyBorder="1"/>
    <xf numFmtId="0" fontId="3" fillId="0" borderId="27" xfId="0" applyFont="1" applyBorder="1"/>
    <xf numFmtId="0" fontId="3" fillId="0" borderId="28" xfId="0" applyFont="1" applyBorder="1"/>
    <xf numFmtId="0" fontId="3" fillId="0" borderId="7" xfId="0" applyFont="1" applyBorder="1"/>
    <xf numFmtId="0" fontId="3" fillId="0" borderId="10" xfId="0" applyFont="1" applyBorder="1"/>
    <xf numFmtId="0" fontId="3" fillId="0" borderId="11" xfId="0" applyFont="1" applyBorder="1"/>
    <xf numFmtId="43" fontId="3" fillId="0" borderId="25" xfId="1" applyFont="1" applyBorder="1"/>
    <xf numFmtId="43" fontId="3" fillId="0" borderId="29" xfId="1" applyFont="1" applyBorder="1"/>
    <xf numFmtId="0" fontId="3" fillId="0" borderId="26" xfId="0" applyFont="1" applyBorder="1"/>
    <xf numFmtId="0" fontId="3" fillId="0" borderId="6" xfId="0" applyFont="1" applyBorder="1"/>
    <xf numFmtId="0" fontId="3" fillId="0" borderId="9" xfId="0" applyFont="1" applyBorder="1"/>
    <xf numFmtId="43" fontId="4" fillId="0" borderId="8" xfId="1" applyFont="1" applyBorder="1" applyAlignment="1">
      <alignment horizontal="center" vertical="center"/>
    </xf>
    <xf numFmtId="43" fontId="4" fillId="0" borderId="25" xfId="1" applyFont="1" applyBorder="1" applyAlignment="1">
      <alignment horizontal="center" vertical="center"/>
    </xf>
    <xf numFmtId="43" fontId="4" fillId="0" borderId="12" xfId="1" applyFont="1" applyBorder="1" applyAlignment="1">
      <alignment horizontal="center" vertical="center"/>
    </xf>
    <xf numFmtId="43" fontId="4" fillId="0" borderId="30" xfId="1" applyFont="1" applyBorder="1" applyAlignment="1">
      <alignment horizontal="center" vertical="center"/>
    </xf>
    <xf numFmtId="43" fontId="4" fillId="0" borderId="15" xfId="1" applyFont="1" applyBorder="1" applyAlignment="1">
      <alignment horizontal="center" vertical="center"/>
    </xf>
    <xf numFmtId="0" fontId="3" fillId="0" borderId="14" xfId="0" applyFont="1" applyBorder="1"/>
    <xf numFmtId="0" fontId="3" fillId="0" borderId="23" xfId="0" applyFont="1" applyBorder="1"/>
    <xf numFmtId="0" fontId="3" fillId="0" borderId="13" xfId="0" applyFont="1" applyBorder="1"/>
    <xf numFmtId="0" fontId="3" fillId="0" borderId="16" xfId="0" applyFont="1" applyBorder="1"/>
    <xf numFmtId="0" fontId="3" fillId="0" borderId="31" xfId="0" applyFont="1" applyBorder="1"/>
    <xf numFmtId="0" fontId="3" fillId="0" borderId="0" xfId="0" applyFont="1" applyAlignment="1">
      <alignment wrapText="1"/>
    </xf>
    <xf numFmtId="43" fontId="3" fillId="0" borderId="32" xfId="1" applyFont="1" applyBorder="1"/>
    <xf numFmtId="43" fontId="4" fillId="0" borderId="33" xfId="1" applyFont="1" applyBorder="1" applyAlignment="1">
      <alignment horizontal="center" vertical="center"/>
    </xf>
    <xf numFmtId="43" fontId="3" fillId="0" borderId="34" xfId="1" applyFont="1" applyBorder="1"/>
    <xf numFmtId="43" fontId="4" fillId="0" borderId="2" xfId="1" applyFont="1" applyBorder="1" applyAlignment="1">
      <alignment horizontal="center" vertical="center"/>
    </xf>
    <xf numFmtId="2" fontId="3" fillId="3" borderId="33" xfId="0" applyNumberFormat="1" applyFont="1" applyFill="1" applyBorder="1"/>
    <xf numFmtId="0" fontId="3" fillId="0" borderId="34" xfId="0" applyFont="1" applyBorder="1"/>
    <xf numFmtId="0" fontId="3" fillId="0" borderId="33" xfId="0" applyFont="1" applyBorder="1"/>
    <xf numFmtId="0" fontId="3" fillId="0" borderId="32" xfId="0" applyFont="1" applyBorder="1"/>
    <xf numFmtId="0" fontId="3" fillId="0" borderId="3" xfId="0" applyFont="1" applyBorder="1"/>
    <xf numFmtId="0" fontId="3" fillId="0" borderId="35" xfId="0" applyFont="1" applyBorder="1"/>
    <xf numFmtId="0" fontId="2" fillId="0" borderId="4" xfId="0" applyFont="1" applyBorder="1"/>
    <xf numFmtId="2" fontId="2" fillId="3" borderId="36" xfId="0" applyNumberFormat="1" applyFont="1" applyFill="1" applyBorder="1"/>
    <xf numFmtId="43" fontId="2" fillId="0" borderId="37" xfId="1" applyFont="1" applyBorder="1"/>
    <xf numFmtId="43" fontId="2" fillId="0" borderId="38" xfId="1" applyFont="1" applyBorder="1"/>
    <xf numFmtId="43" fontId="2" fillId="0" borderId="36" xfId="1" applyFont="1" applyBorder="1"/>
    <xf numFmtId="43" fontId="2" fillId="0" borderId="39" xfId="1" applyFont="1" applyBorder="1"/>
    <xf numFmtId="43" fontId="2" fillId="0" borderId="20" xfId="1" applyFont="1" applyBorder="1"/>
    <xf numFmtId="43" fontId="2" fillId="0" borderId="21" xfId="1" applyFont="1" applyBorder="1"/>
    <xf numFmtId="43" fontId="2" fillId="0" borderId="22" xfId="1" applyFont="1" applyBorder="1"/>
    <xf numFmtId="0" fontId="2" fillId="0" borderId="0" xfId="0" applyFont="1"/>
    <xf numFmtId="43" fontId="2" fillId="0" borderId="40" xfId="0" applyNumberFormat="1" applyFont="1" applyBorder="1"/>
    <xf numFmtId="43" fontId="2" fillId="0" borderId="38" xfId="0" applyNumberFormat="1" applyFont="1" applyBorder="1"/>
    <xf numFmtId="9" fontId="3" fillId="0" borderId="7" xfId="2" applyFont="1" applyBorder="1"/>
    <xf numFmtId="43" fontId="3" fillId="4" borderId="6" xfId="1" applyFont="1" applyFill="1" applyBorder="1"/>
    <xf numFmtId="43" fontId="3" fillId="4" borderId="1" xfId="1" applyFont="1" applyFill="1" applyBorder="1"/>
    <xf numFmtId="43" fontId="3" fillId="4" borderId="25" xfId="1" applyFont="1" applyFill="1" applyBorder="1"/>
    <xf numFmtId="43" fontId="3" fillId="4" borderId="2" xfId="1" applyFont="1" applyFill="1" applyBorder="1"/>
    <xf numFmtId="9" fontId="3" fillId="0" borderId="8" xfId="2" applyFont="1" applyBorder="1"/>
    <xf numFmtId="43" fontId="2" fillId="0" borderId="42" xfId="1" applyFont="1" applyBorder="1"/>
    <xf numFmtId="43" fontId="2" fillId="0" borderId="43" xfId="1" applyFont="1" applyBorder="1"/>
    <xf numFmtId="9" fontId="3" fillId="0" borderId="19" xfId="2" applyFont="1" applyBorder="1"/>
    <xf numFmtId="0" fontId="2" fillId="2" borderId="29" xfId="0" applyFont="1" applyFill="1" applyBorder="1"/>
    <xf numFmtId="164" fontId="3" fillId="2" borderId="32" xfId="0" applyNumberFormat="1" applyFont="1" applyFill="1" applyBorder="1"/>
    <xf numFmtId="43" fontId="3" fillId="0" borderId="31" xfId="1" applyFont="1" applyBorder="1"/>
    <xf numFmtId="43" fontId="3" fillId="0" borderId="33" xfId="1" applyFont="1" applyBorder="1"/>
    <xf numFmtId="43" fontId="3" fillId="0" borderId="35" xfId="1" applyFont="1" applyBorder="1"/>
    <xf numFmtId="43" fontId="3" fillId="0" borderId="44" xfId="1" applyFont="1" applyBorder="1"/>
    <xf numFmtId="43" fontId="4" fillId="0" borderId="31" xfId="1" applyFont="1" applyBorder="1" applyAlignment="1">
      <alignment horizontal="center" vertical="center"/>
    </xf>
    <xf numFmtId="43" fontId="4" fillId="0" borderId="34" xfId="1" applyFont="1" applyBorder="1" applyAlignment="1">
      <alignment horizontal="center" vertical="center"/>
    </xf>
    <xf numFmtId="43" fontId="4" fillId="0" borderId="41" xfId="1" applyFont="1" applyBorder="1" applyAlignment="1">
      <alignment horizontal="center" vertical="center"/>
    </xf>
    <xf numFmtId="43" fontId="4" fillId="0" borderId="44" xfId="1" applyFont="1" applyBorder="1" applyAlignment="1">
      <alignment horizontal="center" vertical="center"/>
    </xf>
    <xf numFmtId="43" fontId="3" fillId="4" borderId="33" xfId="1" applyFont="1" applyFill="1" applyBorder="1"/>
    <xf numFmtId="43" fontId="3" fillId="4" borderId="31" xfId="1" applyFont="1" applyFill="1" applyBorder="1"/>
    <xf numFmtId="9" fontId="3" fillId="0" borderId="34" xfId="2" applyFont="1" applyBorder="1"/>
    <xf numFmtId="0" fontId="2" fillId="2" borderId="20" xfId="0" applyFont="1" applyFill="1" applyBorder="1"/>
    <xf numFmtId="2" fontId="3" fillId="0" borderId="36" xfId="0" applyNumberFormat="1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1" xfId="0" applyFont="1" applyBorder="1" applyAlignment="1">
      <alignment horizontal="center" wrapText="1"/>
    </xf>
    <xf numFmtId="0" fontId="3" fillId="0" borderId="22" xfId="0" applyFont="1" applyBorder="1" applyAlignment="1">
      <alignment horizontal="center" wrapText="1"/>
    </xf>
    <xf numFmtId="2" fontId="3" fillId="0" borderId="20" xfId="0" applyNumberFormat="1" applyFont="1" applyBorder="1" applyAlignment="1">
      <alignment horizontal="center" wrapText="1"/>
    </xf>
    <xf numFmtId="0" fontId="3" fillId="0" borderId="40" xfId="0" applyFont="1" applyBorder="1" applyAlignment="1">
      <alignment horizontal="center" wrapText="1"/>
    </xf>
    <xf numFmtId="0" fontId="3" fillId="0" borderId="36" xfId="0" applyFont="1" applyBorder="1" applyAlignment="1">
      <alignment horizontal="center" wrapText="1"/>
    </xf>
    <xf numFmtId="0" fontId="3" fillId="0" borderId="37" xfId="0" applyFont="1" applyBorder="1" applyAlignment="1">
      <alignment horizontal="center" wrapText="1"/>
    </xf>
    <xf numFmtId="0" fontId="3" fillId="0" borderId="38" xfId="0" applyFont="1" applyBorder="1" applyAlignment="1">
      <alignment horizontal="center" wrapText="1"/>
    </xf>
    <xf numFmtId="0" fontId="3" fillId="4" borderId="36" xfId="0" applyFont="1" applyFill="1" applyBorder="1" applyAlignment="1">
      <alignment horizontal="center" wrapText="1"/>
    </xf>
    <xf numFmtId="0" fontId="3" fillId="4" borderId="37" xfId="0" applyFont="1" applyFill="1" applyBorder="1" applyAlignment="1">
      <alignment horizontal="center" wrapText="1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2" fontId="2" fillId="0" borderId="17" xfId="0" applyNumberFormat="1" applyFont="1" applyBorder="1" applyAlignment="1">
      <alignment horizontal="center" wrapText="1"/>
    </xf>
    <xf numFmtId="2" fontId="2" fillId="0" borderId="18" xfId="0" applyNumberFormat="1" applyFont="1" applyBorder="1" applyAlignment="1">
      <alignment horizontal="center" wrapText="1"/>
    </xf>
    <xf numFmtId="2" fontId="2" fillId="0" borderId="19" xfId="0" applyNumberFormat="1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2" fontId="2" fillId="0" borderId="17" xfId="0" applyNumberFormat="1" applyFont="1" applyBorder="1" applyAlignment="1">
      <alignment horizontal="center"/>
    </xf>
    <xf numFmtId="2" fontId="2" fillId="0" borderId="18" xfId="0" applyNumberFormat="1" applyFont="1" applyBorder="1" applyAlignment="1">
      <alignment horizontal="center"/>
    </xf>
    <xf numFmtId="2" fontId="2" fillId="0" borderId="19" xfId="0" applyNumberFormat="1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/>
    <xf numFmtId="0" fontId="3" fillId="0" borderId="1" xfId="0" applyFont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5801-12E6-40FD-B9E6-5896CEC5E7C0}">
  <dimension ref="B2:C23"/>
  <sheetViews>
    <sheetView tabSelected="1" topLeftCell="A17" workbookViewId="0">
      <selection activeCell="C21" sqref="C21"/>
    </sheetView>
  </sheetViews>
  <sheetFormatPr defaultRowHeight="14.5" x14ac:dyDescent="0.35"/>
  <cols>
    <col min="1" max="1" width="8.7265625" style="5"/>
    <col min="2" max="2" width="35.7265625" style="5" customWidth="1"/>
    <col min="3" max="3" width="58.90625" style="5" customWidth="1"/>
    <col min="4" max="16384" width="8.7265625" style="5"/>
  </cols>
  <sheetData>
    <row r="2" spans="2:3" ht="17.5" x14ac:dyDescent="0.35">
      <c r="B2" s="121" t="s">
        <v>36</v>
      </c>
      <c r="C2" s="4"/>
    </row>
    <row r="3" spans="2:3" x14ac:dyDescent="0.35">
      <c r="B3" s="122" t="s">
        <v>28</v>
      </c>
      <c r="C3" s="123" t="s">
        <v>19</v>
      </c>
    </row>
    <row r="4" spans="2:3" x14ac:dyDescent="0.35">
      <c r="B4" s="122" t="s">
        <v>29</v>
      </c>
      <c r="C4" s="123" t="s">
        <v>20</v>
      </c>
    </row>
    <row r="5" spans="2:3" x14ac:dyDescent="0.35">
      <c r="B5" s="122" t="s">
        <v>30</v>
      </c>
      <c r="C5" s="123" t="s">
        <v>31</v>
      </c>
    </row>
    <row r="6" spans="2:3" x14ac:dyDescent="0.35">
      <c r="B6" s="124" t="s">
        <v>21</v>
      </c>
      <c r="C6" s="125" t="s">
        <v>51</v>
      </c>
    </row>
    <row r="7" spans="2:3" x14ac:dyDescent="0.35">
      <c r="B7" s="124" t="s">
        <v>22</v>
      </c>
      <c r="C7" s="125" t="s">
        <v>50</v>
      </c>
    </row>
    <row r="8" spans="2:3" x14ac:dyDescent="0.35">
      <c r="B8" s="124" t="s">
        <v>23</v>
      </c>
      <c r="C8" s="125" t="s">
        <v>24</v>
      </c>
    </row>
    <row r="9" spans="2:3" x14ac:dyDescent="0.35">
      <c r="B9" s="124" t="s">
        <v>25</v>
      </c>
      <c r="C9" s="125" t="s">
        <v>52</v>
      </c>
    </row>
    <row r="10" spans="2:3" x14ac:dyDescent="0.35">
      <c r="B10" s="124" t="s">
        <v>26</v>
      </c>
      <c r="C10" s="125" t="s">
        <v>27</v>
      </c>
    </row>
    <row r="11" spans="2:3" x14ac:dyDescent="0.35">
      <c r="B11" s="126" t="s">
        <v>32</v>
      </c>
      <c r="C11" s="4" t="s">
        <v>33</v>
      </c>
    </row>
    <row r="12" spans="2:3" x14ac:dyDescent="0.35">
      <c r="B12" s="126" t="s">
        <v>35</v>
      </c>
      <c r="C12" s="4" t="s">
        <v>34</v>
      </c>
    </row>
    <row r="13" spans="2:3" x14ac:dyDescent="0.35">
      <c r="B13" s="126" t="s">
        <v>37</v>
      </c>
      <c r="C13" s="4" t="s">
        <v>38</v>
      </c>
    </row>
    <row r="14" spans="2:3" x14ac:dyDescent="0.35">
      <c r="B14" s="4"/>
      <c r="C14" s="4" t="s">
        <v>39</v>
      </c>
    </row>
    <row r="15" spans="2:3" x14ac:dyDescent="0.35">
      <c r="B15" s="4"/>
      <c r="C15" s="4" t="s">
        <v>40</v>
      </c>
    </row>
    <row r="16" spans="2:3" x14ac:dyDescent="0.35">
      <c r="B16" s="4"/>
      <c r="C16" s="4" t="s">
        <v>42</v>
      </c>
    </row>
    <row r="17" spans="2:3" x14ac:dyDescent="0.35">
      <c r="B17" s="4"/>
      <c r="C17" s="4" t="s">
        <v>41</v>
      </c>
    </row>
    <row r="18" spans="2:3" x14ac:dyDescent="0.35">
      <c r="B18" s="4"/>
      <c r="C18" s="4" t="s">
        <v>43</v>
      </c>
    </row>
    <row r="19" spans="2:3" x14ac:dyDescent="0.35">
      <c r="B19" s="126" t="s">
        <v>44</v>
      </c>
      <c r="C19" s="127" t="s">
        <v>45</v>
      </c>
    </row>
    <row r="20" spans="2:3" x14ac:dyDescent="0.35">
      <c r="B20" s="128"/>
      <c r="C20" s="127" t="s">
        <v>46</v>
      </c>
    </row>
    <row r="21" spans="2:3" x14ac:dyDescent="0.35">
      <c r="B21" s="4"/>
      <c r="C21" s="127" t="s">
        <v>47</v>
      </c>
    </row>
    <row r="22" spans="2:3" x14ac:dyDescent="0.35">
      <c r="B22" s="4"/>
      <c r="C22" s="127" t="s">
        <v>48</v>
      </c>
    </row>
    <row r="23" spans="2:3" x14ac:dyDescent="0.35">
      <c r="B23" s="4"/>
      <c r="C23" s="12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4E811-259B-4182-98EA-882C407B0543}">
  <dimension ref="B1:AD187"/>
  <sheetViews>
    <sheetView zoomScaleNormal="100" workbookViewId="0">
      <selection activeCell="B12" sqref="B12"/>
    </sheetView>
  </sheetViews>
  <sheetFormatPr defaultRowHeight="14.5" x14ac:dyDescent="0.35"/>
  <cols>
    <col min="1" max="1" width="8.7265625" style="5"/>
    <col min="2" max="2" width="11.26953125" style="5" customWidth="1"/>
    <col min="3" max="3" width="11.26953125" style="6" customWidth="1"/>
    <col min="4" max="5" width="11.90625" style="5" bestFit="1" customWidth="1"/>
    <col min="6" max="7" width="13.6328125" style="5" bestFit="1" customWidth="1"/>
    <col min="8" max="8" width="12.453125" style="5" customWidth="1"/>
    <col min="9" max="10" width="13.6328125" style="5" bestFit="1" customWidth="1"/>
    <col min="11" max="11" width="12.453125" style="5" customWidth="1"/>
    <col min="12" max="14" width="13.6328125" style="5" bestFit="1" customWidth="1"/>
    <col min="15" max="15" width="11.90625" style="5" bestFit="1" customWidth="1"/>
    <col min="16" max="18" width="12.453125" style="5" customWidth="1"/>
    <col min="19" max="19" width="11.90625" style="5" bestFit="1" customWidth="1"/>
    <col min="20" max="21" width="13.6328125" style="5" bestFit="1" customWidth="1"/>
    <col min="22" max="22" width="11.90625" style="5" bestFit="1" customWidth="1"/>
    <col min="23" max="24" width="13.6328125" style="5" bestFit="1" customWidth="1"/>
    <col min="25" max="25" width="16.1796875" style="5" customWidth="1"/>
    <col min="26" max="26" width="17.1796875" style="5" customWidth="1"/>
    <col min="27" max="27" width="14.7265625" style="5" bestFit="1" customWidth="1"/>
    <col min="28" max="28" width="19.08984375" style="5" customWidth="1"/>
    <col min="29" max="29" width="20.6328125" style="5" customWidth="1"/>
    <col min="30" max="30" width="18.6328125" style="5" customWidth="1"/>
    <col min="31" max="16384" width="8.7265625" style="5"/>
  </cols>
  <sheetData>
    <row r="1" spans="2:30" ht="14.5" customHeight="1" x14ac:dyDescent="0.35">
      <c r="B1" s="120" t="s">
        <v>57</v>
      </c>
      <c r="C1" s="120"/>
      <c r="D1" s="120"/>
      <c r="E1" s="120"/>
      <c r="F1" s="120"/>
      <c r="G1" s="120"/>
      <c r="H1" s="120"/>
      <c r="I1" s="19"/>
      <c r="J1" s="19"/>
      <c r="K1" s="19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2:30" ht="15" thickBot="1" x14ac:dyDescent="0.4"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</row>
    <row r="3" spans="2:30" ht="15" thickBot="1" x14ac:dyDescent="0.4">
      <c r="C3" s="117" t="s">
        <v>7</v>
      </c>
      <c r="D3" s="118"/>
      <c r="E3" s="118"/>
      <c r="F3" s="118"/>
      <c r="G3" s="118"/>
      <c r="H3" s="118"/>
      <c r="I3" s="118"/>
      <c r="J3" s="118"/>
      <c r="K3" s="118"/>
      <c r="L3" s="118"/>
      <c r="M3" s="119"/>
      <c r="N3" s="111" t="s">
        <v>8</v>
      </c>
      <c r="O3" s="112"/>
      <c r="P3" s="112"/>
      <c r="Q3" s="112"/>
      <c r="R3" s="112"/>
      <c r="S3" s="112"/>
      <c r="T3" s="112"/>
      <c r="U3" s="112"/>
      <c r="V3" s="112"/>
      <c r="W3" s="112"/>
      <c r="X3" s="113"/>
      <c r="Y3" s="105" t="s">
        <v>15</v>
      </c>
      <c r="Z3" s="106"/>
      <c r="AA3" s="106"/>
      <c r="AB3" s="106"/>
      <c r="AC3" s="106"/>
      <c r="AD3" s="107"/>
    </row>
    <row r="4" spans="2:30" ht="15" thickBot="1" x14ac:dyDescent="0.4">
      <c r="B4" s="77" t="s">
        <v>0</v>
      </c>
      <c r="C4" s="108" t="s">
        <v>53</v>
      </c>
      <c r="D4" s="109"/>
      <c r="E4" s="110"/>
      <c r="F4" s="108" t="s">
        <v>54</v>
      </c>
      <c r="G4" s="109"/>
      <c r="H4" s="109"/>
      <c r="I4" s="109" t="s">
        <v>55</v>
      </c>
      <c r="J4" s="109"/>
      <c r="K4" s="109"/>
      <c r="L4" s="109" t="s">
        <v>6</v>
      </c>
      <c r="M4" s="110"/>
      <c r="N4" s="114" t="s">
        <v>55</v>
      </c>
      <c r="O4" s="115"/>
      <c r="P4" s="116"/>
      <c r="Q4" s="114" t="s">
        <v>56</v>
      </c>
      <c r="R4" s="115"/>
      <c r="S4" s="116"/>
      <c r="T4" s="114" t="s">
        <v>9</v>
      </c>
      <c r="U4" s="115"/>
      <c r="V4" s="116"/>
      <c r="W4" s="115" t="s">
        <v>10</v>
      </c>
      <c r="X4" s="116"/>
      <c r="Y4" s="108"/>
      <c r="Z4" s="109"/>
      <c r="AA4" s="109"/>
      <c r="AB4" s="109"/>
      <c r="AC4" s="109"/>
      <c r="AD4" s="110"/>
    </row>
    <row r="5" spans="2:30" ht="73" thickBot="1" x14ac:dyDescent="0.4">
      <c r="B5" s="90" t="s">
        <v>0</v>
      </c>
      <c r="C5" s="91" t="s">
        <v>2</v>
      </c>
      <c r="D5" s="92" t="s">
        <v>1</v>
      </c>
      <c r="E5" s="93" t="s">
        <v>3</v>
      </c>
      <c r="F5" s="94" t="s">
        <v>2</v>
      </c>
      <c r="G5" s="92" t="s">
        <v>1</v>
      </c>
      <c r="H5" s="95" t="s">
        <v>3</v>
      </c>
      <c r="I5" s="94" t="s">
        <v>2</v>
      </c>
      <c r="J5" s="92" t="s">
        <v>1</v>
      </c>
      <c r="K5" s="93" t="s">
        <v>3</v>
      </c>
      <c r="L5" s="96" t="s">
        <v>4</v>
      </c>
      <c r="M5" s="97" t="s">
        <v>5</v>
      </c>
      <c r="N5" s="98" t="s">
        <v>2</v>
      </c>
      <c r="O5" s="99" t="s">
        <v>1</v>
      </c>
      <c r="P5" s="97" t="s">
        <v>3</v>
      </c>
      <c r="Q5" s="100" t="s">
        <v>2</v>
      </c>
      <c r="R5" s="101" t="s">
        <v>1</v>
      </c>
      <c r="S5" s="97" t="s">
        <v>3</v>
      </c>
      <c r="T5" s="100" t="s">
        <v>2</v>
      </c>
      <c r="U5" s="101" t="s">
        <v>1</v>
      </c>
      <c r="V5" s="97" t="s">
        <v>3</v>
      </c>
      <c r="W5" s="99" t="s">
        <v>4</v>
      </c>
      <c r="X5" s="102" t="s">
        <v>5</v>
      </c>
      <c r="Y5" s="103" t="s">
        <v>12</v>
      </c>
      <c r="Z5" s="99" t="s">
        <v>13</v>
      </c>
      <c r="AA5" s="101" t="s">
        <v>14</v>
      </c>
      <c r="AB5" s="104" t="s">
        <v>16</v>
      </c>
      <c r="AC5" s="101" t="s">
        <v>17</v>
      </c>
      <c r="AD5" s="102" t="s">
        <v>18</v>
      </c>
    </row>
    <row r="6" spans="2:30" x14ac:dyDescent="0.35">
      <c r="B6" s="78">
        <v>46023</v>
      </c>
      <c r="C6" s="50">
        <v>2500</v>
      </c>
      <c r="D6" s="79">
        <v>0</v>
      </c>
      <c r="E6" s="48">
        <f>D6-C6</f>
        <v>-2500</v>
      </c>
      <c r="F6" s="80">
        <v>6000</v>
      </c>
      <c r="G6" s="79">
        <v>0</v>
      </c>
      <c r="H6" s="46">
        <f>G6-F6</f>
        <v>-6000</v>
      </c>
      <c r="I6" s="80">
        <f>C6+F6</f>
        <v>8500</v>
      </c>
      <c r="J6" s="79">
        <f>D6+G6</f>
        <v>0</v>
      </c>
      <c r="K6" s="81">
        <f>E6+H6</f>
        <v>-8500</v>
      </c>
      <c r="L6" s="82">
        <v>14000</v>
      </c>
      <c r="M6" s="48">
        <f>199918/31</f>
        <v>6448.9677419354839</v>
      </c>
      <c r="N6" s="80">
        <v>4000</v>
      </c>
      <c r="O6" s="79">
        <v>4485.8575299999993</v>
      </c>
      <c r="P6" s="48">
        <f>O6-N6</f>
        <v>485.85752999999931</v>
      </c>
      <c r="Q6" s="47">
        <v>2500</v>
      </c>
      <c r="R6" s="83">
        <v>2435.07546</v>
      </c>
      <c r="S6" s="84">
        <f>R6-Q6</f>
        <v>-64.924539999999979</v>
      </c>
      <c r="T6" s="85">
        <f>N6+Q6</f>
        <v>6500</v>
      </c>
      <c r="U6" s="83">
        <f t="shared" ref="U6:V21" si="0">O6+R6</f>
        <v>6920.9329899999993</v>
      </c>
      <c r="V6" s="86">
        <f t="shared" si="0"/>
        <v>420.93298999999934</v>
      </c>
      <c r="W6" s="47">
        <v>17000</v>
      </c>
      <c r="X6" s="48">
        <f>220160/31</f>
        <v>7101.9354838709678</v>
      </c>
      <c r="Y6" s="87">
        <f>I6+T6</f>
        <v>15000</v>
      </c>
      <c r="Z6" s="79">
        <f>J6+U6</f>
        <v>6920.9329899999993</v>
      </c>
      <c r="AA6" s="79">
        <f>K6+V6</f>
        <v>-8079.0670100000007</v>
      </c>
      <c r="AB6" s="88">
        <f>L6+W6</f>
        <v>31000</v>
      </c>
      <c r="AC6" s="79">
        <f>M6+X6</f>
        <v>13550.903225806451</v>
      </c>
      <c r="AD6" s="89">
        <f>AB6/Y6</f>
        <v>2.0666666666666669</v>
      </c>
    </row>
    <row r="7" spans="2:30" x14ac:dyDescent="0.35">
      <c r="B7" s="7">
        <v>46024</v>
      </c>
      <c r="C7" s="10">
        <v>2500</v>
      </c>
      <c r="D7" s="1">
        <v>0</v>
      </c>
      <c r="E7" s="11">
        <f t="shared" ref="E7:E70" si="1">D7-C7</f>
        <v>-2500</v>
      </c>
      <c r="F7" s="15">
        <v>6000</v>
      </c>
      <c r="G7" s="1">
        <v>0</v>
      </c>
      <c r="H7" s="16">
        <f t="shared" ref="H7:H70" si="2">G7-F7</f>
        <v>-6000</v>
      </c>
      <c r="I7" s="15">
        <f t="shared" ref="I7:I70" si="3">C7+F7</f>
        <v>8500</v>
      </c>
      <c r="J7" s="1">
        <f t="shared" ref="J7:J70" si="4">D7+G7</f>
        <v>0</v>
      </c>
      <c r="K7" s="17">
        <f t="shared" ref="K7:K70" si="5">E7+H7</f>
        <v>-8500</v>
      </c>
      <c r="L7" s="9">
        <v>14000</v>
      </c>
      <c r="M7" s="11">
        <f t="shared" ref="M7:M64" si="6">199918/31</f>
        <v>6448.9677419354839</v>
      </c>
      <c r="N7" s="15">
        <v>4000</v>
      </c>
      <c r="O7" s="1">
        <v>4512.4637999999995</v>
      </c>
      <c r="P7" s="11">
        <f t="shared" ref="P7:P70" si="7">O7-N7</f>
        <v>512.46379999999954</v>
      </c>
      <c r="Q7" s="21">
        <v>2500</v>
      </c>
      <c r="R7" s="2">
        <v>2404.7686800000001</v>
      </c>
      <c r="S7" s="22">
        <f t="shared" ref="S7:S70" si="8">R7-Q7</f>
        <v>-95.231319999999869</v>
      </c>
      <c r="T7" s="37">
        <f t="shared" ref="T7:T70" si="9">N7+Q7</f>
        <v>6500</v>
      </c>
      <c r="U7" s="2">
        <f t="shared" si="0"/>
        <v>6917.2324799999997</v>
      </c>
      <c r="V7" s="20">
        <f t="shared" si="0"/>
        <v>417.23247999999967</v>
      </c>
      <c r="W7" s="21">
        <v>17000</v>
      </c>
      <c r="X7" s="11">
        <f t="shared" ref="X7:X36" si="10">220160/31</f>
        <v>7101.9354838709678</v>
      </c>
      <c r="Y7" s="69">
        <f t="shared" ref="Y7:Y70" si="11">I7+T7</f>
        <v>15000</v>
      </c>
      <c r="Z7" s="1">
        <f t="shared" ref="Z7:Z70" si="12">J7+U7</f>
        <v>6917.2324799999997</v>
      </c>
      <c r="AA7" s="1">
        <f t="shared" ref="AA7:AA70" si="13">K7+V7</f>
        <v>-8082.7675200000003</v>
      </c>
      <c r="AB7" s="70">
        <f t="shared" ref="AB7:AB70" si="14">L7+W7</f>
        <v>31000</v>
      </c>
      <c r="AC7" s="1">
        <f t="shared" ref="AC7:AC70" si="15">M7+X7</f>
        <v>13550.903225806451</v>
      </c>
      <c r="AD7" s="68">
        <f t="shared" ref="AD7:AD70" si="16">AB7/Y7</f>
        <v>2.0666666666666669</v>
      </c>
    </row>
    <row r="8" spans="2:30" x14ac:dyDescent="0.35">
      <c r="B8" s="7">
        <v>46025</v>
      </c>
      <c r="C8" s="10">
        <v>2500</v>
      </c>
      <c r="D8" s="1">
        <v>0</v>
      </c>
      <c r="E8" s="11">
        <f t="shared" si="1"/>
        <v>-2500</v>
      </c>
      <c r="F8" s="15">
        <v>6000</v>
      </c>
      <c r="G8" s="1">
        <v>0</v>
      </c>
      <c r="H8" s="16">
        <f t="shared" si="2"/>
        <v>-6000</v>
      </c>
      <c r="I8" s="15">
        <f t="shared" si="3"/>
        <v>8500</v>
      </c>
      <c r="J8" s="1">
        <f t="shared" si="4"/>
        <v>0</v>
      </c>
      <c r="K8" s="17">
        <f t="shared" si="5"/>
        <v>-8500</v>
      </c>
      <c r="L8" s="9">
        <v>14000</v>
      </c>
      <c r="M8" s="11">
        <f t="shared" si="6"/>
        <v>6448.9677419354839</v>
      </c>
      <c r="N8" s="15">
        <v>4000</v>
      </c>
      <c r="O8" s="1">
        <v>5034.0232800000003</v>
      </c>
      <c r="P8" s="11">
        <f t="shared" si="7"/>
        <v>1034.0232800000003</v>
      </c>
      <c r="Q8" s="21">
        <v>2500</v>
      </c>
      <c r="R8" s="2">
        <v>2343.2799599999998</v>
      </c>
      <c r="S8" s="22">
        <f t="shared" si="8"/>
        <v>-156.72004000000015</v>
      </c>
      <c r="T8" s="37">
        <f t="shared" si="9"/>
        <v>6500</v>
      </c>
      <c r="U8" s="2">
        <f t="shared" si="0"/>
        <v>7377.3032400000002</v>
      </c>
      <c r="V8" s="20">
        <f t="shared" si="0"/>
        <v>877.30324000000019</v>
      </c>
      <c r="W8" s="21">
        <v>17000</v>
      </c>
      <c r="X8" s="11">
        <f t="shared" si="10"/>
        <v>7101.9354838709678</v>
      </c>
      <c r="Y8" s="69">
        <f t="shared" si="11"/>
        <v>15000</v>
      </c>
      <c r="Z8" s="1">
        <f t="shared" si="12"/>
        <v>7377.3032400000002</v>
      </c>
      <c r="AA8" s="1">
        <f t="shared" si="13"/>
        <v>-7622.6967599999998</v>
      </c>
      <c r="AB8" s="70">
        <f t="shared" si="14"/>
        <v>31000</v>
      </c>
      <c r="AC8" s="1">
        <f t="shared" si="15"/>
        <v>13550.903225806451</v>
      </c>
      <c r="AD8" s="68">
        <f t="shared" si="16"/>
        <v>2.0666666666666669</v>
      </c>
    </row>
    <row r="9" spans="2:30" x14ac:dyDescent="0.35">
      <c r="B9" s="7">
        <v>46026</v>
      </c>
      <c r="C9" s="10">
        <v>2500</v>
      </c>
      <c r="D9" s="1">
        <v>0</v>
      </c>
      <c r="E9" s="11">
        <f t="shared" si="1"/>
        <v>-2500</v>
      </c>
      <c r="F9" s="15">
        <v>6000</v>
      </c>
      <c r="G9" s="1">
        <v>0</v>
      </c>
      <c r="H9" s="16">
        <f t="shared" si="2"/>
        <v>-6000</v>
      </c>
      <c r="I9" s="15">
        <f t="shared" si="3"/>
        <v>8500</v>
      </c>
      <c r="J9" s="1">
        <f t="shared" si="4"/>
        <v>0</v>
      </c>
      <c r="K9" s="17">
        <f t="shared" si="5"/>
        <v>-8500</v>
      </c>
      <c r="L9" s="9">
        <v>14000</v>
      </c>
      <c r="M9" s="11">
        <f t="shared" si="6"/>
        <v>6448.9677419354839</v>
      </c>
      <c r="N9" s="15">
        <v>4000</v>
      </c>
      <c r="O9" s="1">
        <v>5644.0385999999999</v>
      </c>
      <c r="P9" s="11">
        <f t="shared" si="7"/>
        <v>1644.0385999999999</v>
      </c>
      <c r="Q9" s="21">
        <v>2500</v>
      </c>
      <c r="R9" s="2">
        <v>2353.4053199999998</v>
      </c>
      <c r="S9" s="22">
        <f t="shared" si="8"/>
        <v>-146.59468000000015</v>
      </c>
      <c r="T9" s="37">
        <f t="shared" si="9"/>
        <v>6500</v>
      </c>
      <c r="U9" s="2">
        <f t="shared" si="0"/>
        <v>7997.4439199999997</v>
      </c>
      <c r="V9" s="20">
        <f t="shared" si="0"/>
        <v>1497.4439199999997</v>
      </c>
      <c r="W9" s="21">
        <v>17000</v>
      </c>
      <c r="X9" s="11">
        <f t="shared" si="10"/>
        <v>7101.9354838709678</v>
      </c>
      <c r="Y9" s="69">
        <f t="shared" si="11"/>
        <v>15000</v>
      </c>
      <c r="Z9" s="1">
        <f t="shared" si="12"/>
        <v>7997.4439199999997</v>
      </c>
      <c r="AA9" s="1">
        <f t="shared" si="13"/>
        <v>-7002.5560800000003</v>
      </c>
      <c r="AB9" s="70">
        <f t="shared" si="14"/>
        <v>31000</v>
      </c>
      <c r="AC9" s="1">
        <f t="shared" si="15"/>
        <v>13550.903225806451</v>
      </c>
      <c r="AD9" s="68">
        <f t="shared" si="16"/>
        <v>2.0666666666666669</v>
      </c>
    </row>
    <row r="10" spans="2:30" x14ac:dyDescent="0.35">
      <c r="B10" s="7">
        <v>46027</v>
      </c>
      <c r="C10" s="10">
        <v>2500</v>
      </c>
      <c r="D10" s="1">
        <v>0</v>
      </c>
      <c r="E10" s="11">
        <f t="shared" si="1"/>
        <v>-2500</v>
      </c>
      <c r="F10" s="15">
        <v>6000</v>
      </c>
      <c r="G10" s="1">
        <v>0</v>
      </c>
      <c r="H10" s="16">
        <f t="shared" si="2"/>
        <v>-6000</v>
      </c>
      <c r="I10" s="15">
        <f t="shared" si="3"/>
        <v>8500</v>
      </c>
      <c r="J10" s="1">
        <f t="shared" si="4"/>
        <v>0</v>
      </c>
      <c r="K10" s="17">
        <f t="shared" si="5"/>
        <v>-8500</v>
      </c>
      <c r="L10" s="9">
        <v>14000</v>
      </c>
      <c r="M10" s="11">
        <f t="shared" si="6"/>
        <v>6448.9677419354839</v>
      </c>
      <c r="N10" s="15">
        <v>4000</v>
      </c>
      <c r="O10" s="1">
        <v>7189.7875000000004</v>
      </c>
      <c r="P10" s="11">
        <f t="shared" si="7"/>
        <v>3189.7875000000004</v>
      </c>
      <c r="Q10" s="21">
        <v>2500</v>
      </c>
      <c r="R10" s="2">
        <v>2309.6333599999998</v>
      </c>
      <c r="S10" s="22">
        <f t="shared" si="8"/>
        <v>-190.36664000000019</v>
      </c>
      <c r="T10" s="37">
        <f t="shared" si="9"/>
        <v>6500</v>
      </c>
      <c r="U10" s="2">
        <f t="shared" si="0"/>
        <v>9499.4208600000002</v>
      </c>
      <c r="V10" s="20">
        <f t="shared" si="0"/>
        <v>2999.4208600000002</v>
      </c>
      <c r="W10" s="21">
        <v>17000</v>
      </c>
      <c r="X10" s="11">
        <f t="shared" si="10"/>
        <v>7101.9354838709678</v>
      </c>
      <c r="Y10" s="69">
        <f t="shared" si="11"/>
        <v>15000</v>
      </c>
      <c r="Z10" s="1">
        <f t="shared" si="12"/>
        <v>9499.4208600000002</v>
      </c>
      <c r="AA10" s="1">
        <f t="shared" si="13"/>
        <v>-5500.5791399999998</v>
      </c>
      <c r="AB10" s="70">
        <f t="shared" si="14"/>
        <v>31000</v>
      </c>
      <c r="AC10" s="1">
        <f t="shared" si="15"/>
        <v>13550.903225806451</v>
      </c>
      <c r="AD10" s="68">
        <f t="shared" si="16"/>
        <v>2.0666666666666669</v>
      </c>
    </row>
    <row r="11" spans="2:30" x14ac:dyDescent="0.35">
      <c r="B11" s="7">
        <v>46028</v>
      </c>
      <c r="C11" s="10">
        <v>2500</v>
      </c>
      <c r="D11" s="1">
        <v>0</v>
      </c>
      <c r="E11" s="11">
        <f t="shared" si="1"/>
        <v>-2500</v>
      </c>
      <c r="F11" s="15">
        <v>6000</v>
      </c>
      <c r="G11" s="1">
        <v>0</v>
      </c>
      <c r="H11" s="16">
        <f t="shared" si="2"/>
        <v>-6000</v>
      </c>
      <c r="I11" s="15">
        <f t="shared" si="3"/>
        <v>8500</v>
      </c>
      <c r="J11" s="1">
        <f t="shared" si="4"/>
        <v>0</v>
      </c>
      <c r="K11" s="17">
        <f t="shared" si="5"/>
        <v>-8500</v>
      </c>
      <c r="L11" s="9">
        <v>14000</v>
      </c>
      <c r="M11" s="11">
        <f t="shared" si="6"/>
        <v>6448.9677419354839</v>
      </c>
      <c r="N11" s="15">
        <v>4000</v>
      </c>
      <c r="O11" s="1">
        <v>6763.5002599999989</v>
      </c>
      <c r="P11" s="11">
        <f t="shared" si="7"/>
        <v>2763.5002599999989</v>
      </c>
      <c r="Q11" s="21">
        <v>2500</v>
      </c>
      <c r="R11" s="2">
        <v>2291.5648799999999</v>
      </c>
      <c r="S11" s="22">
        <f t="shared" si="8"/>
        <v>-208.4351200000001</v>
      </c>
      <c r="T11" s="37">
        <f t="shared" si="9"/>
        <v>6500</v>
      </c>
      <c r="U11" s="2">
        <f t="shared" si="0"/>
        <v>9055.0651399999988</v>
      </c>
      <c r="V11" s="20">
        <f t="shared" si="0"/>
        <v>2555.0651399999988</v>
      </c>
      <c r="W11" s="21">
        <v>17000</v>
      </c>
      <c r="X11" s="11">
        <f t="shared" si="10"/>
        <v>7101.9354838709678</v>
      </c>
      <c r="Y11" s="69">
        <f t="shared" si="11"/>
        <v>15000</v>
      </c>
      <c r="Z11" s="1">
        <f t="shared" si="12"/>
        <v>9055.0651399999988</v>
      </c>
      <c r="AA11" s="1">
        <f t="shared" si="13"/>
        <v>-5944.9348600000012</v>
      </c>
      <c r="AB11" s="70">
        <f t="shared" si="14"/>
        <v>31000</v>
      </c>
      <c r="AC11" s="1">
        <f t="shared" si="15"/>
        <v>13550.903225806451</v>
      </c>
      <c r="AD11" s="68">
        <f t="shared" si="16"/>
        <v>2.0666666666666669</v>
      </c>
    </row>
    <row r="12" spans="2:30" x14ac:dyDescent="0.35">
      <c r="B12" s="7">
        <v>46029</v>
      </c>
      <c r="C12" s="10">
        <v>2500</v>
      </c>
      <c r="D12" s="1">
        <v>3295.9850000000001</v>
      </c>
      <c r="E12" s="11">
        <f t="shared" si="1"/>
        <v>795.98500000000013</v>
      </c>
      <c r="F12" s="15">
        <v>6000</v>
      </c>
      <c r="G12" s="1">
        <v>0</v>
      </c>
      <c r="H12" s="16">
        <f t="shared" si="2"/>
        <v>-6000</v>
      </c>
      <c r="I12" s="15">
        <f t="shared" si="3"/>
        <v>8500</v>
      </c>
      <c r="J12" s="1">
        <f t="shared" si="4"/>
        <v>3295.9850000000001</v>
      </c>
      <c r="K12" s="17">
        <f t="shared" si="5"/>
        <v>-5204.0149999999994</v>
      </c>
      <c r="L12" s="9">
        <v>14000</v>
      </c>
      <c r="M12" s="11">
        <f t="shared" si="6"/>
        <v>6448.9677419354839</v>
      </c>
      <c r="N12" s="15">
        <v>4000</v>
      </c>
      <c r="O12" s="1">
        <v>7048.05134</v>
      </c>
      <c r="P12" s="11">
        <f t="shared" si="7"/>
        <v>3048.05134</v>
      </c>
      <c r="Q12" s="21">
        <v>2500</v>
      </c>
      <c r="R12" s="2">
        <v>2379.73362</v>
      </c>
      <c r="S12" s="22">
        <f t="shared" si="8"/>
        <v>-120.26638000000003</v>
      </c>
      <c r="T12" s="37">
        <f t="shared" si="9"/>
        <v>6500</v>
      </c>
      <c r="U12" s="2">
        <f t="shared" si="0"/>
        <v>9427.7849600000009</v>
      </c>
      <c r="V12" s="20">
        <f t="shared" si="0"/>
        <v>2927.78496</v>
      </c>
      <c r="W12" s="21">
        <v>17000</v>
      </c>
      <c r="X12" s="11">
        <f t="shared" si="10"/>
        <v>7101.9354838709678</v>
      </c>
      <c r="Y12" s="69">
        <f t="shared" si="11"/>
        <v>15000</v>
      </c>
      <c r="Z12" s="1">
        <f t="shared" si="12"/>
        <v>12723.769960000001</v>
      </c>
      <c r="AA12" s="1">
        <f t="shared" si="13"/>
        <v>-2276.2300399999995</v>
      </c>
      <c r="AB12" s="70">
        <f t="shared" si="14"/>
        <v>31000</v>
      </c>
      <c r="AC12" s="1">
        <f t="shared" si="15"/>
        <v>13550.903225806451</v>
      </c>
      <c r="AD12" s="68">
        <f t="shared" si="16"/>
        <v>2.0666666666666669</v>
      </c>
    </row>
    <row r="13" spans="2:30" x14ac:dyDescent="0.35">
      <c r="B13" s="7">
        <v>46030</v>
      </c>
      <c r="C13" s="10">
        <v>2500</v>
      </c>
      <c r="D13" s="1">
        <v>3131.4915000000001</v>
      </c>
      <c r="E13" s="11">
        <f t="shared" si="1"/>
        <v>631.49150000000009</v>
      </c>
      <c r="F13" s="15">
        <v>6000</v>
      </c>
      <c r="G13" s="1">
        <v>0</v>
      </c>
      <c r="H13" s="16">
        <f t="shared" si="2"/>
        <v>-6000</v>
      </c>
      <c r="I13" s="15">
        <f t="shared" si="3"/>
        <v>8500</v>
      </c>
      <c r="J13" s="1">
        <f t="shared" si="4"/>
        <v>3131.4915000000001</v>
      </c>
      <c r="K13" s="17">
        <f t="shared" si="5"/>
        <v>-5368.5084999999999</v>
      </c>
      <c r="L13" s="9">
        <v>14000</v>
      </c>
      <c r="M13" s="11">
        <f t="shared" si="6"/>
        <v>6448.9677419354839</v>
      </c>
      <c r="N13" s="15">
        <v>4000</v>
      </c>
      <c r="O13" s="1">
        <v>4903.4491199999993</v>
      </c>
      <c r="P13" s="11">
        <f t="shared" si="7"/>
        <v>903.44911999999931</v>
      </c>
      <c r="Q13" s="21">
        <v>2500</v>
      </c>
      <c r="R13" s="2">
        <v>2778.7914000000001</v>
      </c>
      <c r="S13" s="22">
        <f t="shared" si="8"/>
        <v>278.79140000000007</v>
      </c>
      <c r="T13" s="37">
        <f t="shared" si="9"/>
        <v>6500</v>
      </c>
      <c r="U13" s="2">
        <f t="shared" si="0"/>
        <v>7682.2405199999994</v>
      </c>
      <c r="V13" s="20">
        <f t="shared" si="0"/>
        <v>1182.2405199999994</v>
      </c>
      <c r="W13" s="21">
        <v>17000</v>
      </c>
      <c r="X13" s="11">
        <f t="shared" si="10"/>
        <v>7101.9354838709678</v>
      </c>
      <c r="Y13" s="69">
        <f t="shared" si="11"/>
        <v>15000</v>
      </c>
      <c r="Z13" s="1">
        <f t="shared" si="12"/>
        <v>10813.732019999999</v>
      </c>
      <c r="AA13" s="1">
        <f t="shared" si="13"/>
        <v>-4186.2679800000005</v>
      </c>
      <c r="AB13" s="70">
        <f t="shared" si="14"/>
        <v>31000</v>
      </c>
      <c r="AC13" s="1">
        <f t="shared" si="15"/>
        <v>13550.903225806451</v>
      </c>
      <c r="AD13" s="68">
        <f t="shared" si="16"/>
        <v>2.0666666666666669</v>
      </c>
    </row>
    <row r="14" spans="2:30" x14ac:dyDescent="0.35">
      <c r="B14" s="7">
        <v>46031</v>
      </c>
      <c r="C14" s="10">
        <v>2500</v>
      </c>
      <c r="D14" s="1">
        <v>2700.9960000000001</v>
      </c>
      <c r="E14" s="11">
        <f t="shared" si="1"/>
        <v>200.99600000000009</v>
      </c>
      <c r="F14" s="15">
        <v>6000</v>
      </c>
      <c r="G14" s="1">
        <v>0</v>
      </c>
      <c r="H14" s="16">
        <f t="shared" si="2"/>
        <v>-6000</v>
      </c>
      <c r="I14" s="15">
        <f t="shared" si="3"/>
        <v>8500</v>
      </c>
      <c r="J14" s="1">
        <f t="shared" si="4"/>
        <v>2700.9960000000001</v>
      </c>
      <c r="K14" s="17">
        <f t="shared" si="5"/>
        <v>-5799.0039999999999</v>
      </c>
      <c r="L14" s="9">
        <v>14000</v>
      </c>
      <c r="M14" s="11">
        <f t="shared" si="6"/>
        <v>6448.9677419354839</v>
      </c>
      <c r="N14" s="15">
        <v>4000</v>
      </c>
      <c r="O14" s="1">
        <v>4109.4988799999992</v>
      </c>
      <c r="P14" s="11">
        <f t="shared" si="7"/>
        <v>109.49887999999919</v>
      </c>
      <c r="Q14" s="21">
        <v>2500</v>
      </c>
      <c r="R14" s="2">
        <v>2405.4799200000002</v>
      </c>
      <c r="S14" s="22">
        <f t="shared" si="8"/>
        <v>-94.52007999999978</v>
      </c>
      <c r="T14" s="37">
        <f t="shared" si="9"/>
        <v>6500</v>
      </c>
      <c r="U14" s="2">
        <f t="shared" si="0"/>
        <v>6514.978799999999</v>
      </c>
      <c r="V14" s="20">
        <f t="shared" si="0"/>
        <v>14.97879999999941</v>
      </c>
      <c r="W14" s="21">
        <v>17000</v>
      </c>
      <c r="X14" s="11">
        <f t="shared" si="10"/>
        <v>7101.9354838709678</v>
      </c>
      <c r="Y14" s="69">
        <f t="shared" si="11"/>
        <v>15000</v>
      </c>
      <c r="Z14" s="1">
        <f t="shared" si="12"/>
        <v>9215.9748</v>
      </c>
      <c r="AA14" s="1">
        <f t="shared" si="13"/>
        <v>-5784.0252</v>
      </c>
      <c r="AB14" s="70">
        <f t="shared" si="14"/>
        <v>31000</v>
      </c>
      <c r="AC14" s="1">
        <f t="shared" si="15"/>
        <v>13550.903225806451</v>
      </c>
      <c r="AD14" s="68">
        <f t="shared" si="16"/>
        <v>2.0666666666666669</v>
      </c>
    </row>
    <row r="15" spans="2:30" x14ac:dyDescent="0.35">
      <c r="B15" s="7">
        <v>46032</v>
      </c>
      <c r="C15" s="10">
        <v>2500</v>
      </c>
      <c r="D15" s="1">
        <v>2712.1608000000001</v>
      </c>
      <c r="E15" s="11">
        <f t="shared" si="1"/>
        <v>212.16080000000011</v>
      </c>
      <c r="F15" s="15">
        <v>6000</v>
      </c>
      <c r="G15" s="1">
        <v>0</v>
      </c>
      <c r="H15" s="16">
        <f t="shared" si="2"/>
        <v>-6000</v>
      </c>
      <c r="I15" s="15">
        <f t="shared" si="3"/>
        <v>8500</v>
      </c>
      <c r="J15" s="1">
        <f t="shared" si="4"/>
        <v>2712.1608000000001</v>
      </c>
      <c r="K15" s="17">
        <f t="shared" si="5"/>
        <v>-5787.8392000000003</v>
      </c>
      <c r="L15" s="9">
        <v>14000</v>
      </c>
      <c r="M15" s="11">
        <f t="shared" si="6"/>
        <v>6448.9677419354839</v>
      </c>
      <c r="N15" s="15">
        <v>4000</v>
      </c>
      <c r="O15" s="1">
        <v>1789.8022199999998</v>
      </c>
      <c r="P15" s="11">
        <f t="shared" si="7"/>
        <v>-2210.1977800000004</v>
      </c>
      <c r="Q15" s="21">
        <v>2500</v>
      </c>
      <c r="R15" s="2">
        <v>2478.8224800000003</v>
      </c>
      <c r="S15" s="22">
        <f t="shared" si="8"/>
        <v>-21.177519999999731</v>
      </c>
      <c r="T15" s="37">
        <f t="shared" si="9"/>
        <v>6500</v>
      </c>
      <c r="U15" s="2">
        <f t="shared" si="0"/>
        <v>4268.6247000000003</v>
      </c>
      <c r="V15" s="20">
        <f t="shared" si="0"/>
        <v>-2231.3753000000002</v>
      </c>
      <c r="W15" s="21">
        <v>17000</v>
      </c>
      <c r="X15" s="11">
        <f t="shared" si="10"/>
        <v>7101.9354838709678</v>
      </c>
      <c r="Y15" s="69">
        <f t="shared" si="11"/>
        <v>15000</v>
      </c>
      <c r="Z15" s="1">
        <f t="shared" si="12"/>
        <v>6980.7855</v>
      </c>
      <c r="AA15" s="1">
        <f t="shared" si="13"/>
        <v>-8019.2145</v>
      </c>
      <c r="AB15" s="70">
        <f t="shared" si="14"/>
        <v>31000</v>
      </c>
      <c r="AC15" s="1">
        <f t="shared" si="15"/>
        <v>13550.903225806451</v>
      </c>
      <c r="AD15" s="68">
        <f t="shared" si="16"/>
        <v>2.0666666666666669</v>
      </c>
    </row>
    <row r="16" spans="2:30" x14ac:dyDescent="0.35">
      <c r="B16" s="7">
        <v>46033</v>
      </c>
      <c r="C16" s="10">
        <v>2500</v>
      </c>
      <c r="D16" s="1">
        <v>2575.326</v>
      </c>
      <c r="E16" s="11">
        <f t="shared" si="1"/>
        <v>75.326000000000022</v>
      </c>
      <c r="F16" s="15">
        <v>6000</v>
      </c>
      <c r="G16" s="1">
        <v>0</v>
      </c>
      <c r="H16" s="16">
        <f t="shared" si="2"/>
        <v>-6000</v>
      </c>
      <c r="I16" s="15">
        <f t="shared" si="3"/>
        <v>8500</v>
      </c>
      <c r="J16" s="1">
        <f t="shared" si="4"/>
        <v>2575.326</v>
      </c>
      <c r="K16" s="17">
        <f t="shared" si="5"/>
        <v>-5924.674</v>
      </c>
      <c r="L16" s="9">
        <v>14000</v>
      </c>
      <c r="M16" s="11">
        <f t="shared" si="6"/>
        <v>6448.9677419354839</v>
      </c>
      <c r="N16" s="15">
        <v>4000</v>
      </c>
      <c r="O16" s="1">
        <v>3681.4250099999999</v>
      </c>
      <c r="P16" s="11">
        <f t="shared" si="7"/>
        <v>-318.57499000000007</v>
      </c>
      <c r="Q16" s="21">
        <v>2500</v>
      </c>
      <c r="R16" s="2">
        <v>2672.5680000000002</v>
      </c>
      <c r="S16" s="22">
        <f t="shared" si="8"/>
        <v>172.56800000000021</v>
      </c>
      <c r="T16" s="37">
        <f t="shared" si="9"/>
        <v>6500</v>
      </c>
      <c r="U16" s="2">
        <f t="shared" si="0"/>
        <v>6353.9930100000001</v>
      </c>
      <c r="V16" s="20">
        <f t="shared" si="0"/>
        <v>-146.00698999999986</v>
      </c>
      <c r="W16" s="21">
        <v>17000</v>
      </c>
      <c r="X16" s="11">
        <f t="shared" si="10"/>
        <v>7101.9354838709678</v>
      </c>
      <c r="Y16" s="69">
        <f t="shared" si="11"/>
        <v>15000</v>
      </c>
      <c r="Z16" s="1">
        <f t="shared" si="12"/>
        <v>8929.3190099999993</v>
      </c>
      <c r="AA16" s="1">
        <f t="shared" si="13"/>
        <v>-6070.6809899999998</v>
      </c>
      <c r="AB16" s="70">
        <f t="shared" si="14"/>
        <v>31000</v>
      </c>
      <c r="AC16" s="1">
        <f t="shared" si="15"/>
        <v>13550.903225806451</v>
      </c>
      <c r="AD16" s="68">
        <f t="shared" si="16"/>
        <v>2.0666666666666669</v>
      </c>
    </row>
    <row r="17" spans="2:30" x14ac:dyDescent="0.35">
      <c r="B17" s="7">
        <v>46034</v>
      </c>
      <c r="C17" s="10">
        <v>2500</v>
      </c>
      <c r="D17" s="1">
        <v>2062.3229999999999</v>
      </c>
      <c r="E17" s="11">
        <f t="shared" si="1"/>
        <v>-437.67700000000013</v>
      </c>
      <c r="F17" s="15">
        <v>6000</v>
      </c>
      <c r="G17" s="1">
        <v>0</v>
      </c>
      <c r="H17" s="16">
        <f t="shared" si="2"/>
        <v>-6000</v>
      </c>
      <c r="I17" s="15">
        <f t="shared" si="3"/>
        <v>8500</v>
      </c>
      <c r="J17" s="1">
        <f t="shared" si="4"/>
        <v>2062.3229999999999</v>
      </c>
      <c r="K17" s="17">
        <f t="shared" si="5"/>
        <v>-6437.6769999999997</v>
      </c>
      <c r="L17" s="9">
        <v>14000</v>
      </c>
      <c r="M17" s="11">
        <f t="shared" si="6"/>
        <v>6448.9677419354839</v>
      </c>
      <c r="N17" s="15">
        <v>4000</v>
      </c>
      <c r="O17" s="1">
        <v>5758.4329199999993</v>
      </c>
      <c r="P17" s="11">
        <f t="shared" si="7"/>
        <v>1758.4329199999993</v>
      </c>
      <c r="Q17" s="21">
        <v>2500</v>
      </c>
      <c r="R17" s="2">
        <v>2753.2678299999998</v>
      </c>
      <c r="S17" s="22">
        <f t="shared" si="8"/>
        <v>253.26782999999978</v>
      </c>
      <c r="T17" s="37">
        <f t="shared" si="9"/>
        <v>6500</v>
      </c>
      <c r="U17" s="2">
        <f t="shared" si="0"/>
        <v>8511.70075</v>
      </c>
      <c r="V17" s="20">
        <f t="shared" si="0"/>
        <v>2011.7007499999991</v>
      </c>
      <c r="W17" s="21">
        <v>17000</v>
      </c>
      <c r="X17" s="11">
        <f t="shared" si="10"/>
        <v>7101.9354838709678</v>
      </c>
      <c r="Y17" s="69">
        <f t="shared" si="11"/>
        <v>15000</v>
      </c>
      <c r="Z17" s="1">
        <f t="shared" si="12"/>
        <v>10574.02375</v>
      </c>
      <c r="AA17" s="1">
        <f t="shared" si="13"/>
        <v>-4425.9762500000006</v>
      </c>
      <c r="AB17" s="70">
        <f t="shared" si="14"/>
        <v>31000</v>
      </c>
      <c r="AC17" s="1">
        <f t="shared" si="15"/>
        <v>13550.903225806451</v>
      </c>
      <c r="AD17" s="68">
        <f t="shared" si="16"/>
        <v>2.0666666666666669</v>
      </c>
    </row>
    <row r="18" spans="2:30" x14ac:dyDescent="0.35">
      <c r="B18" s="7">
        <v>46035</v>
      </c>
      <c r="C18" s="10">
        <v>2500</v>
      </c>
      <c r="D18" s="1">
        <v>2499.3009999999999</v>
      </c>
      <c r="E18" s="11">
        <f t="shared" si="1"/>
        <v>-0.69900000000006912</v>
      </c>
      <c r="F18" s="15">
        <v>6000</v>
      </c>
      <c r="G18" s="1">
        <v>0</v>
      </c>
      <c r="H18" s="16">
        <f t="shared" si="2"/>
        <v>-6000</v>
      </c>
      <c r="I18" s="15">
        <f t="shared" si="3"/>
        <v>8500</v>
      </c>
      <c r="J18" s="1">
        <f t="shared" si="4"/>
        <v>2499.3009999999999</v>
      </c>
      <c r="K18" s="17">
        <f t="shared" si="5"/>
        <v>-6000.6990000000005</v>
      </c>
      <c r="L18" s="9">
        <v>14000</v>
      </c>
      <c r="M18" s="11">
        <f t="shared" si="6"/>
        <v>6448.9677419354839</v>
      </c>
      <c r="N18" s="15">
        <v>4000</v>
      </c>
      <c r="O18" s="1">
        <v>6106.3351999999995</v>
      </c>
      <c r="P18" s="11">
        <f t="shared" si="7"/>
        <v>2106.3351999999995</v>
      </c>
      <c r="Q18" s="21">
        <v>2500</v>
      </c>
      <c r="R18" s="2">
        <v>2732.9286199999997</v>
      </c>
      <c r="S18" s="22">
        <f t="shared" si="8"/>
        <v>232.92861999999968</v>
      </c>
      <c r="T18" s="37">
        <f t="shared" si="9"/>
        <v>6500</v>
      </c>
      <c r="U18" s="2">
        <f t="shared" si="0"/>
        <v>8839.2638200000001</v>
      </c>
      <c r="V18" s="20">
        <f t="shared" si="0"/>
        <v>2339.2638199999992</v>
      </c>
      <c r="W18" s="21">
        <v>17000</v>
      </c>
      <c r="X18" s="11">
        <f t="shared" si="10"/>
        <v>7101.9354838709678</v>
      </c>
      <c r="Y18" s="69">
        <f t="shared" si="11"/>
        <v>15000</v>
      </c>
      <c r="Z18" s="1">
        <f t="shared" si="12"/>
        <v>11338.56482</v>
      </c>
      <c r="AA18" s="1">
        <f t="shared" si="13"/>
        <v>-3661.4351800000013</v>
      </c>
      <c r="AB18" s="70">
        <f t="shared" si="14"/>
        <v>31000</v>
      </c>
      <c r="AC18" s="1">
        <f t="shared" si="15"/>
        <v>13550.903225806451</v>
      </c>
      <c r="AD18" s="68">
        <f t="shared" si="16"/>
        <v>2.0666666666666669</v>
      </c>
    </row>
    <row r="19" spans="2:30" x14ac:dyDescent="0.35">
      <c r="B19" s="7">
        <v>46036</v>
      </c>
      <c r="C19" s="10">
        <v>2500</v>
      </c>
      <c r="D19" s="1">
        <v>2275.4765000000002</v>
      </c>
      <c r="E19" s="11">
        <f t="shared" si="1"/>
        <v>-224.52349999999979</v>
      </c>
      <c r="F19" s="15">
        <v>6000</v>
      </c>
      <c r="G19" s="1">
        <v>0</v>
      </c>
      <c r="H19" s="16">
        <f t="shared" si="2"/>
        <v>-6000</v>
      </c>
      <c r="I19" s="15">
        <f t="shared" si="3"/>
        <v>8500</v>
      </c>
      <c r="J19" s="1">
        <f t="shared" si="4"/>
        <v>2275.4765000000002</v>
      </c>
      <c r="K19" s="17">
        <f t="shared" si="5"/>
        <v>-6224.5234999999993</v>
      </c>
      <c r="L19" s="9">
        <v>14000</v>
      </c>
      <c r="M19" s="11">
        <f t="shared" si="6"/>
        <v>6448.9677419354839</v>
      </c>
      <c r="N19" s="15">
        <v>4000</v>
      </c>
      <c r="O19" s="1">
        <v>5274.1875</v>
      </c>
      <c r="P19" s="11">
        <f t="shared" si="7"/>
        <v>1274.1875</v>
      </c>
      <c r="Q19" s="21">
        <v>2500</v>
      </c>
      <c r="R19" s="2">
        <v>2736.3783800000001</v>
      </c>
      <c r="S19" s="22">
        <f t="shared" si="8"/>
        <v>236.37838000000011</v>
      </c>
      <c r="T19" s="37">
        <f t="shared" si="9"/>
        <v>6500</v>
      </c>
      <c r="U19" s="2">
        <f t="shared" si="0"/>
        <v>8010.5658800000001</v>
      </c>
      <c r="V19" s="20">
        <f t="shared" si="0"/>
        <v>1510.5658800000001</v>
      </c>
      <c r="W19" s="21">
        <v>17000</v>
      </c>
      <c r="X19" s="11">
        <f t="shared" si="10"/>
        <v>7101.9354838709678</v>
      </c>
      <c r="Y19" s="69">
        <f t="shared" si="11"/>
        <v>15000</v>
      </c>
      <c r="Z19" s="1">
        <f t="shared" si="12"/>
        <v>10286.042380000001</v>
      </c>
      <c r="AA19" s="1">
        <f t="shared" si="13"/>
        <v>-4713.9576199999992</v>
      </c>
      <c r="AB19" s="70">
        <f t="shared" si="14"/>
        <v>31000</v>
      </c>
      <c r="AC19" s="1">
        <f t="shared" si="15"/>
        <v>13550.903225806451</v>
      </c>
      <c r="AD19" s="68">
        <f t="shared" si="16"/>
        <v>2.0666666666666669</v>
      </c>
    </row>
    <row r="20" spans="2:30" x14ac:dyDescent="0.35">
      <c r="B20" s="7">
        <v>46037</v>
      </c>
      <c r="C20" s="10">
        <v>2500</v>
      </c>
      <c r="D20" s="1">
        <v>2354.2188000000001</v>
      </c>
      <c r="E20" s="11">
        <f t="shared" si="1"/>
        <v>-145.7811999999999</v>
      </c>
      <c r="F20" s="15">
        <v>6000</v>
      </c>
      <c r="G20" s="1">
        <v>0</v>
      </c>
      <c r="H20" s="16">
        <f t="shared" si="2"/>
        <v>-6000</v>
      </c>
      <c r="I20" s="15">
        <f t="shared" si="3"/>
        <v>8500</v>
      </c>
      <c r="J20" s="1">
        <f t="shared" si="4"/>
        <v>2354.2188000000001</v>
      </c>
      <c r="K20" s="17">
        <f t="shared" si="5"/>
        <v>-6145.7811999999994</v>
      </c>
      <c r="L20" s="9">
        <v>14000</v>
      </c>
      <c r="M20" s="11">
        <f t="shared" si="6"/>
        <v>6448.9677419354839</v>
      </c>
      <c r="N20" s="15">
        <v>4000</v>
      </c>
      <c r="O20" s="1">
        <v>5182.0524000000005</v>
      </c>
      <c r="P20" s="11">
        <f t="shared" si="7"/>
        <v>1182.0524000000005</v>
      </c>
      <c r="Q20" s="21">
        <v>2500</v>
      </c>
      <c r="R20" s="2">
        <v>2738.46261</v>
      </c>
      <c r="S20" s="22">
        <f t="shared" si="8"/>
        <v>238.46261000000004</v>
      </c>
      <c r="T20" s="37">
        <f t="shared" si="9"/>
        <v>6500</v>
      </c>
      <c r="U20" s="2">
        <f t="shared" si="0"/>
        <v>7920.515010000001</v>
      </c>
      <c r="V20" s="20">
        <f t="shared" si="0"/>
        <v>1420.5150100000005</v>
      </c>
      <c r="W20" s="21">
        <v>17000</v>
      </c>
      <c r="X20" s="11">
        <f t="shared" si="10"/>
        <v>7101.9354838709678</v>
      </c>
      <c r="Y20" s="69">
        <f t="shared" si="11"/>
        <v>15000</v>
      </c>
      <c r="Z20" s="1">
        <f t="shared" si="12"/>
        <v>10274.733810000002</v>
      </c>
      <c r="AA20" s="1">
        <f t="shared" si="13"/>
        <v>-4725.2661899999985</v>
      </c>
      <c r="AB20" s="70">
        <f t="shared" si="14"/>
        <v>31000</v>
      </c>
      <c r="AC20" s="1">
        <f t="shared" si="15"/>
        <v>13550.903225806451</v>
      </c>
      <c r="AD20" s="68">
        <f t="shared" si="16"/>
        <v>2.0666666666666669</v>
      </c>
    </row>
    <row r="21" spans="2:30" x14ac:dyDescent="0.35">
      <c r="B21" s="7">
        <v>46038</v>
      </c>
      <c r="C21" s="10">
        <v>2500</v>
      </c>
      <c r="D21" s="1">
        <v>2458.3910000000001</v>
      </c>
      <c r="E21" s="11">
        <f t="shared" si="1"/>
        <v>-41.608999999999924</v>
      </c>
      <c r="F21" s="15">
        <v>6000</v>
      </c>
      <c r="G21" s="1">
        <v>0</v>
      </c>
      <c r="H21" s="16">
        <f t="shared" si="2"/>
        <v>-6000</v>
      </c>
      <c r="I21" s="15">
        <f t="shared" si="3"/>
        <v>8500</v>
      </c>
      <c r="J21" s="1">
        <f t="shared" si="4"/>
        <v>2458.3910000000001</v>
      </c>
      <c r="K21" s="17">
        <f t="shared" si="5"/>
        <v>-6041.6090000000004</v>
      </c>
      <c r="L21" s="9">
        <v>14000</v>
      </c>
      <c r="M21" s="11">
        <f t="shared" si="6"/>
        <v>6448.9677419354839</v>
      </c>
      <c r="N21" s="15">
        <v>4000</v>
      </c>
      <c r="O21" s="1">
        <v>4815.4936399999997</v>
      </c>
      <c r="P21" s="11">
        <f t="shared" si="7"/>
        <v>815.49363999999969</v>
      </c>
      <c r="Q21" s="21">
        <v>2500</v>
      </c>
      <c r="R21" s="2">
        <v>2791.9338899999998</v>
      </c>
      <c r="S21" s="22">
        <f t="shared" si="8"/>
        <v>291.93388999999979</v>
      </c>
      <c r="T21" s="37">
        <f t="shared" si="9"/>
        <v>6500</v>
      </c>
      <c r="U21" s="2">
        <f t="shared" si="0"/>
        <v>7607.427529999999</v>
      </c>
      <c r="V21" s="20">
        <f t="shared" si="0"/>
        <v>1107.4275299999995</v>
      </c>
      <c r="W21" s="21">
        <v>17000</v>
      </c>
      <c r="X21" s="11">
        <f t="shared" si="10"/>
        <v>7101.9354838709678</v>
      </c>
      <c r="Y21" s="69">
        <f t="shared" si="11"/>
        <v>15000</v>
      </c>
      <c r="Z21" s="1">
        <f t="shared" si="12"/>
        <v>10065.818529999999</v>
      </c>
      <c r="AA21" s="1">
        <f t="shared" si="13"/>
        <v>-4934.1814700000014</v>
      </c>
      <c r="AB21" s="70">
        <f t="shared" si="14"/>
        <v>31000</v>
      </c>
      <c r="AC21" s="1">
        <f t="shared" si="15"/>
        <v>13550.903225806451</v>
      </c>
      <c r="AD21" s="68">
        <f t="shared" si="16"/>
        <v>2.0666666666666669</v>
      </c>
    </row>
    <row r="22" spans="2:30" x14ac:dyDescent="0.35">
      <c r="B22" s="7">
        <v>46039</v>
      </c>
      <c r="C22" s="10">
        <v>2500</v>
      </c>
      <c r="D22" s="1">
        <v>2308.848</v>
      </c>
      <c r="E22" s="11">
        <f t="shared" si="1"/>
        <v>-191.15200000000004</v>
      </c>
      <c r="F22" s="15">
        <v>6000</v>
      </c>
      <c r="G22" s="1">
        <v>4339.0805499999997</v>
      </c>
      <c r="H22" s="16">
        <f t="shared" si="2"/>
        <v>-1660.9194500000003</v>
      </c>
      <c r="I22" s="15">
        <f t="shared" si="3"/>
        <v>8500</v>
      </c>
      <c r="J22" s="1">
        <f t="shared" si="4"/>
        <v>6647.9285499999996</v>
      </c>
      <c r="K22" s="17">
        <f t="shared" si="5"/>
        <v>-1852.0714500000004</v>
      </c>
      <c r="L22" s="9">
        <v>14000</v>
      </c>
      <c r="M22" s="11">
        <f t="shared" si="6"/>
        <v>6448.9677419354839</v>
      </c>
      <c r="N22" s="15">
        <v>4000</v>
      </c>
      <c r="O22" s="1">
        <v>4833.4701800000003</v>
      </c>
      <c r="P22" s="11">
        <f t="shared" si="7"/>
        <v>833.47018000000025</v>
      </c>
      <c r="Q22" s="21">
        <v>2500</v>
      </c>
      <c r="R22" s="2">
        <v>2754.6333599999998</v>
      </c>
      <c r="S22" s="22">
        <f t="shared" si="8"/>
        <v>254.63335999999981</v>
      </c>
      <c r="T22" s="37">
        <f t="shared" si="9"/>
        <v>6500</v>
      </c>
      <c r="U22" s="2">
        <f t="shared" ref="U22:U85" si="17">O22+R22</f>
        <v>7588.1035400000001</v>
      </c>
      <c r="V22" s="20">
        <f t="shared" ref="V22:V85" si="18">P22+S22</f>
        <v>1088.1035400000001</v>
      </c>
      <c r="W22" s="21">
        <v>17000</v>
      </c>
      <c r="X22" s="11">
        <f t="shared" si="10"/>
        <v>7101.9354838709678</v>
      </c>
      <c r="Y22" s="69">
        <f t="shared" si="11"/>
        <v>15000</v>
      </c>
      <c r="Z22" s="1">
        <f t="shared" si="12"/>
        <v>14236.032090000001</v>
      </c>
      <c r="AA22" s="1">
        <f t="shared" si="13"/>
        <v>-763.9679100000003</v>
      </c>
      <c r="AB22" s="70">
        <f t="shared" si="14"/>
        <v>31000</v>
      </c>
      <c r="AC22" s="1">
        <f t="shared" si="15"/>
        <v>13550.903225806451</v>
      </c>
      <c r="AD22" s="68">
        <f t="shared" si="16"/>
        <v>2.0666666666666669</v>
      </c>
    </row>
    <row r="23" spans="2:30" x14ac:dyDescent="0.35">
      <c r="B23" s="7">
        <v>46040</v>
      </c>
      <c r="C23" s="10">
        <v>2500</v>
      </c>
      <c r="D23" s="1">
        <v>2514.5464000000002</v>
      </c>
      <c r="E23" s="11">
        <f t="shared" si="1"/>
        <v>14.546400000000176</v>
      </c>
      <c r="F23" s="15">
        <v>6000</v>
      </c>
      <c r="G23" s="1">
        <v>6952.5020000000004</v>
      </c>
      <c r="H23" s="16">
        <f t="shared" si="2"/>
        <v>952.50200000000041</v>
      </c>
      <c r="I23" s="15">
        <f t="shared" si="3"/>
        <v>8500</v>
      </c>
      <c r="J23" s="1">
        <f t="shared" si="4"/>
        <v>9467.0483999999997</v>
      </c>
      <c r="K23" s="17">
        <f t="shared" si="5"/>
        <v>967.04840000000058</v>
      </c>
      <c r="L23" s="9">
        <v>14000</v>
      </c>
      <c r="M23" s="11">
        <f t="shared" si="6"/>
        <v>6448.9677419354839</v>
      </c>
      <c r="N23" s="15">
        <v>4000</v>
      </c>
      <c r="O23" s="1">
        <v>4835.4026999999996</v>
      </c>
      <c r="P23" s="11">
        <f t="shared" si="7"/>
        <v>835.40269999999964</v>
      </c>
      <c r="Q23" s="21">
        <v>2500</v>
      </c>
      <c r="R23" s="2">
        <v>2277.1232599999998</v>
      </c>
      <c r="S23" s="22">
        <f t="shared" si="8"/>
        <v>-222.87674000000015</v>
      </c>
      <c r="T23" s="37">
        <f t="shared" si="9"/>
        <v>6500</v>
      </c>
      <c r="U23" s="2">
        <f t="shared" si="17"/>
        <v>7112.525959999999</v>
      </c>
      <c r="V23" s="20">
        <f t="shared" si="18"/>
        <v>612.52595999999949</v>
      </c>
      <c r="W23" s="21">
        <v>17000</v>
      </c>
      <c r="X23" s="11">
        <f t="shared" si="10"/>
        <v>7101.9354838709678</v>
      </c>
      <c r="Y23" s="69">
        <f t="shared" si="11"/>
        <v>15000</v>
      </c>
      <c r="Z23" s="1">
        <f t="shared" si="12"/>
        <v>16579.574359999999</v>
      </c>
      <c r="AA23" s="1">
        <f t="shared" si="13"/>
        <v>1579.5743600000001</v>
      </c>
      <c r="AB23" s="70">
        <f t="shared" si="14"/>
        <v>31000</v>
      </c>
      <c r="AC23" s="1">
        <f t="shared" si="15"/>
        <v>13550.903225806451</v>
      </c>
      <c r="AD23" s="68">
        <f t="shared" si="16"/>
        <v>2.0666666666666669</v>
      </c>
    </row>
    <row r="24" spans="2:30" x14ac:dyDescent="0.35">
      <c r="B24" s="7">
        <v>46041</v>
      </c>
      <c r="C24" s="10">
        <v>2500</v>
      </c>
      <c r="D24" s="1">
        <v>2428.7855999999997</v>
      </c>
      <c r="E24" s="11">
        <f t="shared" si="1"/>
        <v>-71.214400000000296</v>
      </c>
      <c r="F24" s="15">
        <v>6000</v>
      </c>
      <c r="G24" s="1">
        <v>7479.0792000000001</v>
      </c>
      <c r="H24" s="16">
        <f t="shared" si="2"/>
        <v>1479.0792000000001</v>
      </c>
      <c r="I24" s="15">
        <f t="shared" si="3"/>
        <v>8500</v>
      </c>
      <c r="J24" s="1">
        <f t="shared" si="4"/>
        <v>9907.8647999999994</v>
      </c>
      <c r="K24" s="17">
        <f t="shared" si="5"/>
        <v>1407.8647999999998</v>
      </c>
      <c r="L24" s="9">
        <v>14000</v>
      </c>
      <c r="M24" s="11">
        <f t="shared" si="6"/>
        <v>6448.9677419354839</v>
      </c>
      <c r="N24" s="15">
        <v>4000</v>
      </c>
      <c r="O24" s="1">
        <v>5208.4651200000008</v>
      </c>
      <c r="P24" s="11">
        <f t="shared" si="7"/>
        <v>1208.4651200000008</v>
      </c>
      <c r="Q24" s="21">
        <v>2500</v>
      </c>
      <c r="R24" s="2">
        <v>2300.5700999999999</v>
      </c>
      <c r="S24" s="22">
        <f t="shared" si="8"/>
        <v>-199.42990000000009</v>
      </c>
      <c r="T24" s="37">
        <f t="shared" si="9"/>
        <v>6500</v>
      </c>
      <c r="U24" s="2">
        <f t="shared" si="17"/>
        <v>7509.0352200000007</v>
      </c>
      <c r="V24" s="20">
        <f t="shared" si="18"/>
        <v>1009.0352200000007</v>
      </c>
      <c r="W24" s="21">
        <v>17000</v>
      </c>
      <c r="X24" s="11">
        <f t="shared" si="10"/>
        <v>7101.9354838709678</v>
      </c>
      <c r="Y24" s="69">
        <f t="shared" si="11"/>
        <v>15000</v>
      </c>
      <c r="Z24" s="1">
        <f t="shared" si="12"/>
        <v>17416.900020000001</v>
      </c>
      <c r="AA24" s="1">
        <f t="shared" si="13"/>
        <v>2416.9000200000005</v>
      </c>
      <c r="AB24" s="70">
        <f t="shared" si="14"/>
        <v>31000</v>
      </c>
      <c r="AC24" s="1">
        <f t="shared" si="15"/>
        <v>13550.903225806451</v>
      </c>
      <c r="AD24" s="68">
        <f t="shared" si="16"/>
        <v>2.0666666666666669</v>
      </c>
    </row>
    <row r="25" spans="2:30" x14ac:dyDescent="0.35">
      <c r="B25" s="7">
        <v>46042</v>
      </c>
      <c r="C25" s="10">
        <v>2500</v>
      </c>
      <c r="D25" s="1">
        <v>2446.0315000000001</v>
      </c>
      <c r="E25" s="11">
        <f t="shared" si="1"/>
        <v>-53.968499999999949</v>
      </c>
      <c r="F25" s="15">
        <v>6000</v>
      </c>
      <c r="G25" s="1">
        <v>7285.7056400000001</v>
      </c>
      <c r="H25" s="16">
        <f t="shared" si="2"/>
        <v>1285.7056400000001</v>
      </c>
      <c r="I25" s="15">
        <f t="shared" si="3"/>
        <v>8500</v>
      </c>
      <c r="J25" s="1">
        <f t="shared" si="4"/>
        <v>9731.7371400000011</v>
      </c>
      <c r="K25" s="17">
        <f t="shared" si="5"/>
        <v>1231.7371400000002</v>
      </c>
      <c r="L25" s="9">
        <v>14000</v>
      </c>
      <c r="M25" s="11">
        <f t="shared" si="6"/>
        <v>6448.9677419354839</v>
      </c>
      <c r="N25" s="15">
        <v>4000</v>
      </c>
      <c r="O25" s="1">
        <v>6101.27772</v>
      </c>
      <c r="P25" s="11">
        <f t="shared" si="7"/>
        <v>2101.27772</v>
      </c>
      <c r="Q25" s="21">
        <v>2500</v>
      </c>
      <c r="R25" s="2">
        <v>2271.5032700000002</v>
      </c>
      <c r="S25" s="22">
        <f t="shared" si="8"/>
        <v>-228.49672999999984</v>
      </c>
      <c r="T25" s="37">
        <f t="shared" si="9"/>
        <v>6500</v>
      </c>
      <c r="U25" s="2">
        <f t="shared" si="17"/>
        <v>8372.7809899999993</v>
      </c>
      <c r="V25" s="20">
        <f t="shared" si="18"/>
        <v>1872.7809900000002</v>
      </c>
      <c r="W25" s="21">
        <v>17000</v>
      </c>
      <c r="X25" s="11">
        <f t="shared" si="10"/>
        <v>7101.9354838709678</v>
      </c>
      <c r="Y25" s="69">
        <f t="shared" si="11"/>
        <v>15000</v>
      </c>
      <c r="Z25" s="1">
        <f t="shared" si="12"/>
        <v>18104.51813</v>
      </c>
      <c r="AA25" s="1">
        <f t="shared" si="13"/>
        <v>3104.5181300000004</v>
      </c>
      <c r="AB25" s="70">
        <f t="shared" si="14"/>
        <v>31000</v>
      </c>
      <c r="AC25" s="1">
        <f t="shared" si="15"/>
        <v>13550.903225806451</v>
      </c>
      <c r="AD25" s="68">
        <f t="shared" si="16"/>
        <v>2.0666666666666669</v>
      </c>
    </row>
    <row r="26" spans="2:30" x14ac:dyDescent="0.35">
      <c r="B26" s="7">
        <v>46043</v>
      </c>
      <c r="C26" s="10">
        <v>2500</v>
      </c>
      <c r="D26" s="1">
        <v>2342.0748000000003</v>
      </c>
      <c r="E26" s="11">
        <f t="shared" si="1"/>
        <v>-157.92519999999968</v>
      </c>
      <c r="F26" s="15">
        <v>6000</v>
      </c>
      <c r="G26" s="1">
        <v>7215.0175199999994</v>
      </c>
      <c r="H26" s="16">
        <f t="shared" si="2"/>
        <v>1215.0175199999994</v>
      </c>
      <c r="I26" s="15">
        <f t="shared" si="3"/>
        <v>8500</v>
      </c>
      <c r="J26" s="1">
        <f t="shared" si="4"/>
        <v>9557.0923199999997</v>
      </c>
      <c r="K26" s="17">
        <f t="shared" si="5"/>
        <v>1057.0923199999997</v>
      </c>
      <c r="L26" s="9">
        <v>14000</v>
      </c>
      <c r="M26" s="11">
        <f t="shared" si="6"/>
        <v>6448.9677419354839</v>
      </c>
      <c r="N26" s="15">
        <v>4000</v>
      </c>
      <c r="O26" s="1">
        <v>5760.482</v>
      </c>
      <c r="P26" s="11">
        <f t="shared" si="7"/>
        <v>1760.482</v>
      </c>
      <c r="Q26" s="21">
        <v>2500</v>
      </c>
      <c r="R26" s="2">
        <v>2297.0047299999997</v>
      </c>
      <c r="S26" s="22">
        <f t="shared" si="8"/>
        <v>-202.99527000000035</v>
      </c>
      <c r="T26" s="37">
        <f t="shared" si="9"/>
        <v>6500</v>
      </c>
      <c r="U26" s="2">
        <f t="shared" si="17"/>
        <v>8057.4867299999996</v>
      </c>
      <c r="V26" s="20">
        <f t="shared" si="18"/>
        <v>1557.4867299999996</v>
      </c>
      <c r="W26" s="21">
        <v>17000</v>
      </c>
      <c r="X26" s="11">
        <f t="shared" si="10"/>
        <v>7101.9354838709678</v>
      </c>
      <c r="Y26" s="69">
        <f t="shared" si="11"/>
        <v>15000</v>
      </c>
      <c r="Z26" s="1">
        <f t="shared" si="12"/>
        <v>17614.57905</v>
      </c>
      <c r="AA26" s="1">
        <f t="shared" si="13"/>
        <v>2614.5790499999994</v>
      </c>
      <c r="AB26" s="70">
        <f t="shared" si="14"/>
        <v>31000</v>
      </c>
      <c r="AC26" s="1">
        <f t="shared" si="15"/>
        <v>13550.903225806451</v>
      </c>
      <c r="AD26" s="68">
        <f t="shared" si="16"/>
        <v>2.0666666666666669</v>
      </c>
    </row>
    <row r="27" spans="2:30" x14ac:dyDescent="0.35">
      <c r="B27" s="7">
        <v>46044</v>
      </c>
      <c r="C27" s="10">
        <v>2500</v>
      </c>
      <c r="D27" s="1">
        <v>2437.8276000000001</v>
      </c>
      <c r="E27" s="11">
        <f t="shared" si="1"/>
        <v>-62.172399999999925</v>
      </c>
      <c r="F27" s="15">
        <v>6000</v>
      </c>
      <c r="G27" s="1">
        <v>6980.9452799999999</v>
      </c>
      <c r="H27" s="16">
        <f t="shared" si="2"/>
        <v>980.94527999999991</v>
      </c>
      <c r="I27" s="15">
        <f t="shared" si="3"/>
        <v>8500</v>
      </c>
      <c r="J27" s="1">
        <f t="shared" si="4"/>
        <v>9418.7728800000004</v>
      </c>
      <c r="K27" s="17">
        <f t="shared" si="5"/>
        <v>918.77287999999999</v>
      </c>
      <c r="L27" s="9">
        <v>14000</v>
      </c>
      <c r="M27" s="11">
        <f t="shared" si="6"/>
        <v>6448.9677419354839</v>
      </c>
      <c r="N27" s="15">
        <v>4000</v>
      </c>
      <c r="O27" s="1">
        <v>5505.5159600000006</v>
      </c>
      <c r="P27" s="11">
        <f t="shared" si="7"/>
        <v>1505.5159600000006</v>
      </c>
      <c r="Q27" s="21">
        <v>2500</v>
      </c>
      <c r="R27" s="2">
        <v>2258.32953</v>
      </c>
      <c r="S27" s="22">
        <f t="shared" si="8"/>
        <v>-241.67047000000002</v>
      </c>
      <c r="T27" s="37">
        <f t="shared" si="9"/>
        <v>6500</v>
      </c>
      <c r="U27" s="2">
        <f t="shared" si="17"/>
        <v>7763.8454900000006</v>
      </c>
      <c r="V27" s="20">
        <f t="shared" si="18"/>
        <v>1263.8454900000006</v>
      </c>
      <c r="W27" s="21">
        <v>17000</v>
      </c>
      <c r="X27" s="11">
        <f t="shared" si="10"/>
        <v>7101.9354838709678</v>
      </c>
      <c r="Y27" s="69">
        <f t="shared" si="11"/>
        <v>15000</v>
      </c>
      <c r="Z27" s="1">
        <f t="shared" si="12"/>
        <v>17182.61837</v>
      </c>
      <c r="AA27" s="1">
        <f t="shared" si="13"/>
        <v>2182.6183700000006</v>
      </c>
      <c r="AB27" s="70">
        <f t="shared" si="14"/>
        <v>31000</v>
      </c>
      <c r="AC27" s="1">
        <f t="shared" si="15"/>
        <v>13550.903225806451</v>
      </c>
      <c r="AD27" s="68">
        <f t="shared" si="16"/>
        <v>2.0666666666666669</v>
      </c>
    </row>
    <row r="28" spans="2:30" x14ac:dyDescent="0.35">
      <c r="B28" s="7">
        <v>46045</v>
      </c>
      <c r="C28" s="10">
        <v>2500</v>
      </c>
      <c r="D28" s="1">
        <v>2480.6970000000001</v>
      </c>
      <c r="E28" s="11">
        <f t="shared" si="1"/>
        <v>-19.302999999999884</v>
      </c>
      <c r="F28" s="15">
        <v>6000</v>
      </c>
      <c r="G28" s="1">
        <v>7408.0449599999993</v>
      </c>
      <c r="H28" s="16">
        <f t="shared" si="2"/>
        <v>1408.0449599999993</v>
      </c>
      <c r="I28" s="15">
        <f t="shared" si="3"/>
        <v>8500</v>
      </c>
      <c r="J28" s="1">
        <f t="shared" si="4"/>
        <v>9888.7419599999994</v>
      </c>
      <c r="K28" s="17">
        <f t="shared" si="5"/>
        <v>1388.7419599999994</v>
      </c>
      <c r="L28" s="9">
        <v>14000</v>
      </c>
      <c r="M28" s="11">
        <f t="shared" si="6"/>
        <v>6448.9677419354839</v>
      </c>
      <c r="N28" s="15">
        <v>4000</v>
      </c>
      <c r="O28" s="1">
        <v>6070.1312000000007</v>
      </c>
      <c r="P28" s="11">
        <f t="shared" si="7"/>
        <v>2070.1312000000007</v>
      </c>
      <c r="Q28" s="21">
        <v>2500</v>
      </c>
      <c r="R28" s="2">
        <v>2280.2051900000001</v>
      </c>
      <c r="S28" s="22">
        <f t="shared" si="8"/>
        <v>-219.79480999999987</v>
      </c>
      <c r="T28" s="37">
        <f t="shared" si="9"/>
        <v>6500</v>
      </c>
      <c r="U28" s="2">
        <f t="shared" si="17"/>
        <v>8350.3363900000004</v>
      </c>
      <c r="V28" s="20">
        <f t="shared" si="18"/>
        <v>1850.3363900000008</v>
      </c>
      <c r="W28" s="21">
        <v>17000</v>
      </c>
      <c r="X28" s="11">
        <f t="shared" si="10"/>
        <v>7101.9354838709678</v>
      </c>
      <c r="Y28" s="69">
        <f t="shared" si="11"/>
        <v>15000</v>
      </c>
      <c r="Z28" s="1">
        <f t="shared" si="12"/>
        <v>18239.07835</v>
      </c>
      <c r="AA28" s="1">
        <f t="shared" si="13"/>
        <v>3239.0783500000002</v>
      </c>
      <c r="AB28" s="70">
        <f t="shared" si="14"/>
        <v>31000</v>
      </c>
      <c r="AC28" s="1">
        <f t="shared" si="15"/>
        <v>13550.903225806451</v>
      </c>
      <c r="AD28" s="68">
        <f t="shared" si="16"/>
        <v>2.0666666666666669</v>
      </c>
    </row>
    <row r="29" spans="2:30" x14ac:dyDescent="0.35">
      <c r="B29" s="7">
        <v>46046</v>
      </c>
      <c r="C29" s="10">
        <v>2500</v>
      </c>
      <c r="D29" s="1">
        <v>2518.192</v>
      </c>
      <c r="E29" s="11">
        <f t="shared" si="1"/>
        <v>18.192000000000007</v>
      </c>
      <c r="F29" s="15">
        <v>6000</v>
      </c>
      <c r="G29" s="1">
        <v>7435.3831499999997</v>
      </c>
      <c r="H29" s="16">
        <f t="shared" si="2"/>
        <v>1435.3831499999997</v>
      </c>
      <c r="I29" s="15">
        <f t="shared" si="3"/>
        <v>8500</v>
      </c>
      <c r="J29" s="1">
        <f t="shared" si="4"/>
        <v>9953.5751500000006</v>
      </c>
      <c r="K29" s="17">
        <f t="shared" si="5"/>
        <v>1453.5751499999997</v>
      </c>
      <c r="L29" s="9">
        <v>14000</v>
      </c>
      <c r="M29" s="11">
        <f t="shared" si="6"/>
        <v>6448.9677419354839</v>
      </c>
      <c r="N29" s="15">
        <v>4000</v>
      </c>
      <c r="O29" s="1">
        <v>7178.0699699999996</v>
      </c>
      <c r="P29" s="11">
        <f t="shared" si="7"/>
        <v>3178.0699699999996</v>
      </c>
      <c r="Q29" s="21">
        <v>2500</v>
      </c>
      <c r="R29" s="2">
        <v>2224.9152399999998</v>
      </c>
      <c r="S29" s="22">
        <f t="shared" si="8"/>
        <v>-275.08476000000019</v>
      </c>
      <c r="T29" s="37">
        <f t="shared" si="9"/>
        <v>6500</v>
      </c>
      <c r="U29" s="2">
        <f t="shared" si="17"/>
        <v>9402.9852099999989</v>
      </c>
      <c r="V29" s="20">
        <f t="shared" si="18"/>
        <v>2902.9852099999994</v>
      </c>
      <c r="W29" s="21">
        <v>17000</v>
      </c>
      <c r="X29" s="11">
        <f t="shared" si="10"/>
        <v>7101.9354838709678</v>
      </c>
      <c r="Y29" s="69">
        <f t="shared" si="11"/>
        <v>15000</v>
      </c>
      <c r="Z29" s="1">
        <f t="shared" si="12"/>
        <v>19356.560359999999</v>
      </c>
      <c r="AA29" s="1">
        <f t="shared" si="13"/>
        <v>4356.5603599999995</v>
      </c>
      <c r="AB29" s="70">
        <f t="shared" si="14"/>
        <v>31000</v>
      </c>
      <c r="AC29" s="1">
        <f t="shared" si="15"/>
        <v>13550.903225806451</v>
      </c>
      <c r="AD29" s="68">
        <f t="shared" si="16"/>
        <v>2.0666666666666669</v>
      </c>
    </row>
    <row r="30" spans="2:30" x14ac:dyDescent="0.35">
      <c r="B30" s="7">
        <v>46047</v>
      </c>
      <c r="C30" s="10">
        <v>2500</v>
      </c>
      <c r="D30" s="1">
        <v>2489.2356000000004</v>
      </c>
      <c r="E30" s="11">
        <f t="shared" si="1"/>
        <v>-10.764399999999569</v>
      </c>
      <c r="F30" s="15">
        <v>6000</v>
      </c>
      <c r="G30" s="1">
        <v>7683.5763000000006</v>
      </c>
      <c r="H30" s="16">
        <f t="shared" si="2"/>
        <v>1683.5763000000006</v>
      </c>
      <c r="I30" s="15">
        <f t="shared" si="3"/>
        <v>8500</v>
      </c>
      <c r="J30" s="1">
        <f t="shared" si="4"/>
        <v>10172.811900000001</v>
      </c>
      <c r="K30" s="17">
        <f t="shared" si="5"/>
        <v>1672.8119000000011</v>
      </c>
      <c r="L30" s="9">
        <v>14000</v>
      </c>
      <c r="M30" s="11">
        <f t="shared" si="6"/>
        <v>6448.9677419354839</v>
      </c>
      <c r="N30" s="15">
        <v>4000</v>
      </c>
      <c r="O30" s="1">
        <v>7014.7088000000003</v>
      </c>
      <c r="P30" s="11">
        <f t="shared" si="7"/>
        <v>3014.7088000000003</v>
      </c>
      <c r="Q30" s="21">
        <v>2500</v>
      </c>
      <c r="R30" s="2">
        <v>2207.8973100000003</v>
      </c>
      <c r="S30" s="22">
        <f t="shared" si="8"/>
        <v>-292.10268999999971</v>
      </c>
      <c r="T30" s="37">
        <f t="shared" si="9"/>
        <v>6500</v>
      </c>
      <c r="U30" s="2">
        <f t="shared" si="17"/>
        <v>9222.6061100000006</v>
      </c>
      <c r="V30" s="20">
        <f t="shared" si="18"/>
        <v>2722.6061100000006</v>
      </c>
      <c r="W30" s="21">
        <v>17000</v>
      </c>
      <c r="X30" s="11">
        <f t="shared" si="10"/>
        <v>7101.9354838709678</v>
      </c>
      <c r="Y30" s="69">
        <f t="shared" si="11"/>
        <v>15000</v>
      </c>
      <c r="Z30" s="1">
        <f t="shared" si="12"/>
        <v>19395.418010000001</v>
      </c>
      <c r="AA30" s="1">
        <f t="shared" si="13"/>
        <v>4395.4180100000012</v>
      </c>
      <c r="AB30" s="70">
        <f t="shared" si="14"/>
        <v>31000</v>
      </c>
      <c r="AC30" s="1">
        <f t="shared" si="15"/>
        <v>13550.903225806451</v>
      </c>
      <c r="AD30" s="68">
        <f t="shared" si="16"/>
        <v>2.0666666666666669</v>
      </c>
    </row>
    <row r="31" spans="2:30" x14ac:dyDescent="0.35">
      <c r="B31" s="7">
        <v>46048</v>
      </c>
      <c r="C31" s="10">
        <v>2500</v>
      </c>
      <c r="D31" s="1">
        <v>2648.9492999999998</v>
      </c>
      <c r="E31" s="11">
        <f t="shared" si="1"/>
        <v>148.94929999999977</v>
      </c>
      <c r="F31" s="15">
        <v>6000</v>
      </c>
      <c r="G31" s="1">
        <v>7571.755079999999</v>
      </c>
      <c r="H31" s="16">
        <f t="shared" si="2"/>
        <v>1571.755079999999</v>
      </c>
      <c r="I31" s="15">
        <f t="shared" si="3"/>
        <v>8500</v>
      </c>
      <c r="J31" s="1">
        <f t="shared" si="4"/>
        <v>10220.704379999999</v>
      </c>
      <c r="K31" s="17">
        <f t="shared" si="5"/>
        <v>1720.7043799999988</v>
      </c>
      <c r="L31" s="9">
        <v>14000</v>
      </c>
      <c r="M31" s="11">
        <f t="shared" si="6"/>
        <v>6448.9677419354839</v>
      </c>
      <c r="N31" s="15">
        <v>4000</v>
      </c>
      <c r="O31" s="1">
        <v>7256.9434499999988</v>
      </c>
      <c r="P31" s="11">
        <f t="shared" si="7"/>
        <v>3256.9434499999988</v>
      </c>
      <c r="Q31" s="21">
        <v>2500</v>
      </c>
      <c r="R31" s="2">
        <v>2195.5892100000001</v>
      </c>
      <c r="S31" s="22">
        <f t="shared" si="8"/>
        <v>-304.41078999999991</v>
      </c>
      <c r="T31" s="37">
        <f t="shared" si="9"/>
        <v>6500</v>
      </c>
      <c r="U31" s="2">
        <f t="shared" si="17"/>
        <v>9452.5326599999989</v>
      </c>
      <c r="V31" s="20">
        <f t="shared" si="18"/>
        <v>2952.5326599999989</v>
      </c>
      <c r="W31" s="21">
        <v>17000</v>
      </c>
      <c r="X31" s="11">
        <f t="shared" si="10"/>
        <v>7101.9354838709678</v>
      </c>
      <c r="Y31" s="69">
        <f t="shared" si="11"/>
        <v>15000</v>
      </c>
      <c r="Z31" s="1">
        <f t="shared" si="12"/>
        <v>19673.23704</v>
      </c>
      <c r="AA31" s="1">
        <f t="shared" si="13"/>
        <v>4673.2370399999982</v>
      </c>
      <c r="AB31" s="70">
        <f t="shared" si="14"/>
        <v>31000</v>
      </c>
      <c r="AC31" s="1">
        <f t="shared" si="15"/>
        <v>13550.903225806451</v>
      </c>
      <c r="AD31" s="68">
        <f t="shared" si="16"/>
        <v>2.0666666666666669</v>
      </c>
    </row>
    <row r="32" spans="2:30" x14ac:dyDescent="0.35">
      <c r="B32" s="7">
        <v>46049</v>
      </c>
      <c r="C32" s="10">
        <v>2500</v>
      </c>
      <c r="D32" s="1">
        <v>2149.902</v>
      </c>
      <c r="E32" s="11">
        <f t="shared" si="1"/>
        <v>-350.09799999999996</v>
      </c>
      <c r="F32" s="15">
        <v>6000</v>
      </c>
      <c r="G32" s="1">
        <v>7611.7761900000005</v>
      </c>
      <c r="H32" s="16">
        <f t="shared" si="2"/>
        <v>1611.7761900000005</v>
      </c>
      <c r="I32" s="15">
        <f t="shared" si="3"/>
        <v>8500</v>
      </c>
      <c r="J32" s="1">
        <f t="shared" si="4"/>
        <v>9761.6781900000005</v>
      </c>
      <c r="K32" s="17">
        <f t="shared" si="5"/>
        <v>1261.6781900000005</v>
      </c>
      <c r="L32" s="9">
        <v>14000</v>
      </c>
      <c r="M32" s="11">
        <f t="shared" si="6"/>
        <v>6448.9677419354839</v>
      </c>
      <c r="N32" s="15">
        <v>4000</v>
      </c>
      <c r="O32" s="1">
        <v>7225.9263999999985</v>
      </c>
      <c r="P32" s="11">
        <f t="shared" si="7"/>
        <v>3225.9263999999985</v>
      </c>
      <c r="Q32" s="21">
        <v>2500</v>
      </c>
      <c r="R32" s="2">
        <v>2461.6328100000001</v>
      </c>
      <c r="S32" s="22">
        <f t="shared" si="8"/>
        <v>-38.367189999999937</v>
      </c>
      <c r="T32" s="37">
        <f t="shared" si="9"/>
        <v>6500</v>
      </c>
      <c r="U32" s="2">
        <f t="shared" si="17"/>
        <v>9687.5592099999994</v>
      </c>
      <c r="V32" s="20">
        <f t="shared" si="18"/>
        <v>3187.5592099999985</v>
      </c>
      <c r="W32" s="21">
        <v>17000</v>
      </c>
      <c r="X32" s="11">
        <f t="shared" si="10"/>
        <v>7101.9354838709678</v>
      </c>
      <c r="Y32" s="69">
        <f t="shared" si="11"/>
        <v>15000</v>
      </c>
      <c r="Z32" s="1">
        <f t="shared" si="12"/>
        <v>19449.237399999998</v>
      </c>
      <c r="AA32" s="1">
        <f t="shared" si="13"/>
        <v>4449.2373999999991</v>
      </c>
      <c r="AB32" s="70">
        <f t="shared" si="14"/>
        <v>31000</v>
      </c>
      <c r="AC32" s="1">
        <f t="shared" si="15"/>
        <v>13550.903225806451</v>
      </c>
      <c r="AD32" s="68">
        <f t="shared" si="16"/>
        <v>2.0666666666666669</v>
      </c>
    </row>
    <row r="33" spans="2:30" x14ac:dyDescent="0.35">
      <c r="B33" s="7">
        <v>46050</v>
      </c>
      <c r="C33" s="10">
        <v>2500</v>
      </c>
      <c r="D33" s="1">
        <v>2409.5520000000001</v>
      </c>
      <c r="E33" s="11">
        <f t="shared" si="1"/>
        <v>-90.447999999999865</v>
      </c>
      <c r="F33" s="15">
        <v>6000</v>
      </c>
      <c r="G33" s="1">
        <v>4656.3388800000002</v>
      </c>
      <c r="H33" s="16">
        <f t="shared" si="2"/>
        <v>-1343.6611199999998</v>
      </c>
      <c r="I33" s="15">
        <f t="shared" si="3"/>
        <v>8500</v>
      </c>
      <c r="J33" s="1">
        <f t="shared" si="4"/>
        <v>7065.8908800000008</v>
      </c>
      <c r="K33" s="17">
        <f t="shared" si="5"/>
        <v>-1434.1091199999996</v>
      </c>
      <c r="L33" s="9">
        <v>14000</v>
      </c>
      <c r="M33" s="11">
        <f t="shared" si="6"/>
        <v>6448.9677419354839</v>
      </c>
      <c r="N33" s="15">
        <v>4000</v>
      </c>
      <c r="O33" s="1">
        <v>6906.6197000000002</v>
      </c>
      <c r="P33" s="11">
        <f t="shared" si="7"/>
        <v>2906.6197000000002</v>
      </c>
      <c r="Q33" s="21">
        <v>2500</v>
      </c>
      <c r="R33" s="2">
        <v>2396.13283</v>
      </c>
      <c r="S33" s="22">
        <f t="shared" si="8"/>
        <v>-103.86716999999999</v>
      </c>
      <c r="T33" s="37">
        <f t="shared" si="9"/>
        <v>6500</v>
      </c>
      <c r="U33" s="2">
        <f t="shared" si="17"/>
        <v>9302.7525299999998</v>
      </c>
      <c r="V33" s="20">
        <f t="shared" si="18"/>
        <v>2802.7525300000002</v>
      </c>
      <c r="W33" s="21">
        <v>17000</v>
      </c>
      <c r="X33" s="11">
        <f t="shared" si="10"/>
        <v>7101.9354838709678</v>
      </c>
      <c r="Y33" s="69">
        <f t="shared" si="11"/>
        <v>15000</v>
      </c>
      <c r="Z33" s="1">
        <f t="shared" si="12"/>
        <v>16368.643410000001</v>
      </c>
      <c r="AA33" s="1">
        <f t="shared" si="13"/>
        <v>1368.6434100000006</v>
      </c>
      <c r="AB33" s="70">
        <f t="shared" si="14"/>
        <v>31000</v>
      </c>
      <c r="AC33" s="1">
        <f t="shared" si="15"/>
        <v>13550.903225806451</v>
      </c>
      <c r="AD33" s="68">
        <f t="shared" si="16"/>
        <v>2.0666666666666669</v>
      </c>
    </row>
    <row r="34" spans="2:30" x14ac:dyDescent="0.35">
      <c r="B34" s="7">
        <v>46051</v>
      </c>
      <c r="C34" s="10">
        <v>2500</v>
      </c>
      <c r="D34" s="1">
        <v>2788.6410000000001</v>
      </c>
      <c r="E34" s="11">
        <f t="shared" si="1"/>
        <v>288.64100000000008</v>
      </c>
      <c r="F34" s="15">
        <v>6000</v>
      </c>
      <c r="G34" s="1">
        <v>5751.3545999999997</v>
      </c>
      <c r="H34" s="16">
        <f t="shared" si="2"/>
        <v>-248.64540000000034</v>
      </c>
      <c r="I34" s="15">
        <f t="shared" si="3"/>
        <v>8500</v>
      </c>
      <c r="J34" s="1">
        <f t="shared" si="4"/>
        <v>8539.9956000000002</v>
      </c>
      <c r="K34" s="17">
        <f t="shared" si="5"/>
        <v>39.99559999999974</v>
      </c>
      <c r="L34" s="9">
        <v>14000</v>
      </c>
      <c r="M34" s="11">
        <f t="shared" si="6"/>
        <v>6448.9677419354839</v>
      </c>
      <c r="N34" s="15">
        <v>4000</v>
      </c>
      <c r="O34" s="1">
        <v>7322.866500000001</v>
      </c>
      <c r="P34" s="11">
        <f t="shared" si="7"/>
        <v>3322.866500000001</v>
      </c>
      <c r="Q34" s="21">
        <v>2500</v>
      </c>
      <c r="R34" s="2">
        <v>2416.1930000000002</v>
      </c>
      <c r="S34" s="22">
        <f t="shared" si="8"/>
        <v>-83.806999999999789</v>
      </c>
      <c r="T34" s="37">
        <f t="shared" si="9"/>
        <v>6500</v>
      </c>
      <c r="U34" s="2">
        <f t="shared" si="17"/>
        <v>9739.0595000000012</v>
      </c>
      <c r="V34" s="20">
        <f t="shared" si="18"/>
        <v>3239.0595000000012</v>
      </c>
      <c r="W34" s="21">
        <v>17000</v>
      </c>
      <c r="X34" s="11">
        <f t="shared" si="10"/>
        <v>7101.9354838709678</v>
      </c>
      <c r="Y34" s="69">
        <f t="shared" si="11"/>
        <v>15000</v>
      </c>
      <c r="Z34" s="1">
        <f t="shared" si="12"/>
        <v>18279.055100000001</v>
      </c>
      <c r="AA34" s="1">
        <f t="shared" si="13"/>
        <v>3279.0551000000009</v>
      </c>
      <c r="AB34" s="70">
        <f t="shared" si="14"/>
        <v>31000</v>
      </c>
      <c r="AC34" s="1">
        <f t="shared" si="15"/>
        <v>13550.903225806451</v>
      </c>
      <c r="AD34" s="68">
        <f t="shared" si="16"/>
        <v>2.0666666666666669</v>
      </c>
    </row>
    <row r="35" spans="2:30" x14ac:dyDescent="0.35">
      <c r="B35" s="7">
        <v>46052</v>
      </c>
      <c r="C35" s="10">
        <v>2500</v>
      </c>
      <c r="D35" s="1">
        <v>648.60569999999996</v>
      </c>
      <c r="E35" s="11">
        <f t="shared" si="1"/>
        <v>-1851.3942999999999</v>
      </c>
      <c r="F35" s="15">
        <v>6000</v>
      </c>
      <c r="G35" s="1">
        <v>5812.3551599999992</v>
      </c>
      <c r="H35" s="16">
        <f t="shared" si="2"/>
        <v>-187.64484000000084</v>
      </c>
      <c r="I35" s="15">
        <f t="shared" si="3"/>
        <v>8500</v>
      </c>
      <c r="J35" s="1">
        <f t="shared" si="4"/>
        <v>6460.9608599999992</v>
      </c>
      <c r="K35" s="17">
        <f t="shared" si="5"/>
        <v>-2039.0391400000008</v>
      </c>
      <c r="L35" s="9">
        <v>14000</v>
      </c>
      <c r="M35" s="11">
        <f t="shared" si="6"/>
        <v>6448.9677419354839</v>
      </c>
      <c r="N35" s="15">
        <v>4000</v>
      </c>
      <c r="O35" s="1">
        <v>6914.8038900000001</v>
      </c>
      <c r="P35" s="11">
        <f t="shared" si="7"/>
        <v>2914.8038900000001</v>
      </c>
      <c r="Q35" s="21">
        <v>2500</v>
      </c>
      <c r="R35" s="2">
        <v>2366.6718599999999</v>
      </c>
      <c r="S35" s="22">
        <f t="shared" si="8"/>
        <v>-133.32814000000008</v>
      </c>
      <c r="T35" s="37">
        <f t="shared" si="9"/>
        <v>6500</v>
      </c>
      <c r="U35" s="2">
        <f t="shared" si="17"/>
        <v>9281.4757499999996</v>
      </c>
      <c r="V35" s="20">
        <f t="shared" si="18"/>
        <v>2781.4757500000001</v>
      </c>
      <c r="W35" s="21">
        <v>17000</v>
      </c>
      <c r="X35" s="11">
        <f t="shared" si="10"/>
        <v>7101.9354838709678</v>
      </c>
      <c r="Y35" s="69">
        <f t="shared" si="11"/>
        <v>15000</v>
      </c>
      <c r="Z35" s="1">
        <f t="shared" si="12"/>
        <v>15742.436609999999</v>
      </c>
      <c r="AA35" s="1">
        <f t="shared" si="13"/>
        <v>742.43660999999929</v>
      </c>
      <c r="AB35" s="70">
        <f t="shared" si="14"/>
        <v>31000</v>
      </c>
      <c r="AC35" s="1">
        <f t="shared" si="15"/>
        <v>13550.903225806451</v>
      </c>
      <c r="AD35" s="68">
        <f t="shared" si="16"/>
        <v>2.0666666666666669</v>
      </c>
    </row>
    <row r="36" spans="2:30" x14ac:dyDescent="0.35">
      <c r="B36" s="7">
        <v>46053</v>
      </c>
      <c r="C36" s="10">
        <v>2500</v>
      </c>
      <c r="D36" s="1">
        <v>0</v>
      </c>
      <c r="E36" s="11">
        <f t="shared" si="1"/>
        <v>-2500</v>
      </c>
      <c r="F36" s="15">
        <v>6000</v>
      </c>
      <c r="G36" s="1">
        <v>5832.4017000000003</v>
      </c>
      <c r="H36" s="16">
        <f t="shared" si="2"/>
        <v>-167.59829999999965</v>
      </c>
      <c r="I36" s="15">
        <f t="shared" si="3"/>
        <v>8500</v>
      </c>
      <c r="J36" s="1">
        <f t="shared" si="4"/>
        <v>5832.4017000000003</v>
      </c>
      <c r="K36" s="17">
        <f t="shared" si="5"/>
        <v>-2667.5982999999997</v>
      </c>
      <c r="L36" s="9">
        <v>14000</v>
      </c>
      <c r="M36" s="11">
        <f t="shared" si="6"/>
        <v>6448.9677419354839</v>
      </c>
      <c r="N36" s="15">
        <v>4000</v>
      </c>
      <c r="O36" s="1">
        <v>5849.3774800000001</v>
      </c>
      <c r="P36" s="11">
        <f t="shared" si="7"/>
        <v>1849.3774800000001</v>
      </c>
      <c r="Q36" s="21">
        <v>2500</v>
      </c>
      <c r="R36" s="2">
        <v>2336.6910600000001</v>
      </c>
      <c r="S36" s="22">
        <f t="shared" si="8"/>
        <v>-163.30893999999989</v>
      </c>
      <c r="T36" s="37">
        <f t="shared" si="9"/>
        <v>6500</v>
      </c>
      <c r="U36" s="2">
        <f t="shared" si="17"/>
        <v>8186.0685400000002</v>
      </c>
      <c r="V36" s="20">
        <f t="shared" si="18"/>
        <v>1686.0685400000002</v>
      </c>
      <c r="W36" s="21">
        <v>17000</v>
      </c>
      <c r="X36" s="11">
        <f t="shared" si="10"/>
        <v>7101.9354838709678</v>
      </c>
      <c r="Y36" s="69">
        <f t="shared" si="11"/>
        <v>15000</v>
      </c>
      <c r="Z36" s="1">
        <f t="shared" si="12"/>
        <v>14018.470240000001</v>
      </c>
      <c r="AA36" s="1">
        <f t="shared" si="13"/>
        <v>-981.52975999999944</v>
      </c>
      <c r="AB36" s="70">
        <f t="shared" si="14"/>
        <v>31000</v>
      </c>
      <c r="AC36" s="1">
        <f t="shared" si="15"/>
        <v>13550.903225806451</v>
      </c>
      <c r="AD36" s="68">
        <f t="shared" si="16"/>
        <v>2.0666666666666669</v>
      </c>
    </row>
    <row r="37" spans="2:30" x14ac:dyDescent="0.35">
      <c r="B37" s="7">
        <v>46054</v>
      </c>
      <c r="C37" s="10">
        <v>4000</v>
      </c>
      <c r="D37" s="1">
        <v>2407.9940999999999</v>
      </c>
      <c r="E37" s="11">
        <f t="shared" si="1"/>
        <v>-1592.0059000000001</v>
      </c>
      <c r="F37" s="15">
        <v>9000</v>
      </c>
      <c r="G37" s="1">
        <v>5642.7799799999993</v>
      </c>
      <c r="H37" s="16">
        <f t="shared" si="2"/>
        <v>-3357.2200200000007</v>
      </c>
      <c r="I37" s="15">
        <f t="shared" si="3"/>
        <v>13000</v>
      </c>
      <c r="J37" s="1">
        <f t="shared" si="4"/>
        <v>8050.7740799999992</v>
      </c>
      <c r="K37" s="17">
        <f t="shared" si="5"/>
        <v>-4949.2259200000008</v>
      </c>
      <c r="L37" s="9">
        <v>14000</v>
      </c>
      <c r="M37" s="11">
        <f t="shared" si="6"/>
        <v>6448.9677419354839</v>
      </c>
      <c r="N37" s="15">
        <v>7000</v>
      </c>
      <c r="O37" s="1">
        <v>6738.9802299999992</v>
      </c>
      <c r="P37" s="11">
        <f t="shared" si="7"/>
        <v>-261.01977000000079</v>
      </c>
      <c r="Q37" s="15">
        <v>4000</v>
      </c>
      <c r="R37" s="1">
        <v>2377.8522000000003</v>
      </c>
      <c r="S37" s="22">
        <f t="shared" si="8"/>
        <v>-1622.1477999999997</v>
      </c>
      <c r="T37" s="37">
        <f t="shared" si="9"/>
        <v>11000</v>
      </c>
      <c r="U37" s="2">
        <f t="shared" si="17"/>
        <v>9116.8324299999986</v>
      </c>
      <c r="V37" s="20">
        <f t="shared" si="18"/>
        <v>-1883.1675700000005</v>
      </c>
      <c r="W37" s="21">
        <v>17000</v>
      </c>
      <c r="X37" s="11">
        <f>275893/28</f>
        <v>9853.3214285714294</v>
      </c>
      <c r="Y37" s="69">
        <f t="shared" si="11"/>
        <v>24000</v>
      </c>
      <c r="Z37" s="1">
        <f t="shared" si="12"/>
        <v>17167.606509999998</v>
      </c>
      <c r="AA37" s="1">
        <f t="shared" si="13"/>
        <v>-6832.3934900000013</v>
      </c>
      <c r="AB37" s="70">
        <f t="shared" si="14"/>
        <v>31000</v>
      </c>
      <c r="AC37" s="1">
        <f t="shared" si="15"/>
        <v>16302.289170506912</v>
      </c>
      <c r="AD37" s="68">
        <f t="shared" si="16"/>
        <v>1.2916666666666667</v>
      </c>
    </row>
    <row r="38" spans="2:30" x14ac:dyDescent="0.35">
      <c r="B38" s="7">
        <v>46055</v>
      </c>
      <c r="C38" s="10">
        <v>4000</v>
      </c>
      <c r="D38" s="1">
        <v>2616.2334000000001</v>
      </c>
      <c r="E38" s="11">
        <f t="shared" si="1"/>
        <v>-1383.7665999999999</v>
      </c>
      <c r="F38" s="15">
        <v>9000</v>
      </c>
      <c r="G38" s="1">
        <v>5704.3464000000004</v>
      </c>
      <c r="H38" s="16">
        <f t="shared" si="2"/>
        <v>-3295.6535999999996</v>
      </c>
      <c r="I38" s="15">
        <f t="shared" si="3"/>
        <v>13000</v>
      </c>
      <c r="J38" s="1">
        <f t="shared" si="4"/>
        <v>8320.5797999999995</v>
      </c>
      <c r="K38" s="17">
        <f t="shared" si="5"/>
        <v>-4679.4201999999996</v>
      </c>
      <c r="L38" s="9">
        <v>14000</v>
      </c>
      <c r="M38" s="11">
        <f t="shared" si="6"/>
        <v>6448.9677419354839</v>
      </c>
      <c r="N38" s="15">
        <v>7000</v>
      </c>
      <c r="O38" s="1">
        <v>6651.348210000001</v>
      </c>
      <c r="P38" s="11">
        <f t="shared" si="7"/>
        <v>-348.65178999999898</v>
      </c>
      <c r="Q38" s="15">
        <v>4000</v>
      </c>
      <c r="R38" s="1">
        <v>2394.4964</v>
      </c>
      <c r="S38" s="22">
        <f t="shared" si="8"/>
        <v>-1605.5036</v>
      </c>
      <c r="T38" s="37">
        <f t="shared" si="9"/>
        <v>11000</v>
      </c>
      <c r="U38" s="2">
        <f t="shared" si="17"/>
        <v>9045.8446100000001</v>
      </c>
      <c r="V38" s="20">
        <f t="shared" si="18"/>
        <v>-1954.155389999999</v>
      </c>
      <c r="W38" s="21">
        <v>17000</v>
      </c>
      <c r="X38" s="11">
        <f t="shared" ref="X38:X64" si="19">275893/28</f>
        <v>9853.3214285714294</v>
      </c>
      <c r="Y38" s="69">
        <f t="shared" si="11"/>
        <v>24000</v>
      </c>
      <c r="Z38" s="1">
        <f t="shared" si="12"/>
        <v>17366.42441</v>
      </c>
      <c r="AA38" s="1">
        <f t="shared" si="13"/>
        <v>-6633.5755899999986</v>
      </c>
      <c r="AB38" s="70">
        <f t="shared" si="14"/>
        <v>31000</v>
      </c>
      <c r="AC38" s="1">
        <f t="shared" si="15"/>
        <v>16302.289170506912</v>
      </c>
      <c r="AD38" s="68">
        <f t="shared" si="16"/>
        <v>1.2916666666666667</v>
      </c>
    </row>
    <row r="39" spans="2:30" x14ac:dyDescent="0.35">
      <c r="B39" s="7">
        <v>46056</v>
      </c>
      <c r="C39" s="10">
        <v>4000</v>
      </c>
      <c r="D39" s="1">
        <v>2489.0048999999999</v>
      </c>
      <c r="E39" s="11">
        <f t="shared" si="1"/>
        <v>-1510.9951000000001</v>
      </c>
      <c r="F39" s="15">
        <v>9000</v>
      </c>
      <c r="G39" s="1">
        <v>5706.4152599999998</v>
      </c>
      <c r="H39" s="16">
        <f t="shared" si="2"/>
        <v>-3293.5847400000002</v>
      </c>
      <c r="I39" s="15">
        <f t="shared" si="3"/>
        <v>13000</v>
      </c>
      <c r="J39" s="1">
        <f t="shared" si="4"/>
        <v>8195.4201599999997</v>
      </c>
      <c r="K39" s="17">
        <f t="shared" si="5"/>
        <v>-4804.5798400000003</v>
      </c>
      <c r="L39" s="9">
        <v>14000</v>
      </c>
      <c r="M39" s="11">
        <f t="shared" si="6"/>
        <v>6448.9677419354839</v>
      </c>
      <c r="N39" s="15">
        <v>7000</v>
      </c>
      <c r="O39" s="1">
        <v>6730.8735399999996</v>
      </c>
      <c r="P39" s="11">
        <f t="shared" si="7"/>
        <v>-269.12646000000041</v>
      </c>
      <c r="Q39" s="15">
        <v>4000</v>
      </c>
      <c r="R39" s="1">
        <v>2136.4130400000004</v>
      </c>
      <c r="S39" s="22">
        <f t="shared" si="8"/>
        <v>-1863.5869599999996</v>
      </c>
      <c r="T39" s="37">
        <f t="shared" si="9"/>
        <v>11000</v>
      </c>
      <c r="U39" s="2">
        <f t="shared" si="17"/>
        <v>8867.28658</v>
      </c>
      <c r="V39" s="20">
        <f t="shared" si="18"/>
        <v>-2132.71342</v>
      </c>
      <c r="W39" s="21">
        <v>17000</v>
      </c>
      <c r="X39" s="11">
        <f t="shared" si="19"/>
        <v>9853.3214285714294</v>
      </c>
      <c r="Y39" s="69">
        <f t="shared" si="11"/>
        <v>24000</v>
      </c>
      <c r="Z39" s="1">
        <f t="shared" si="12"/>
        <v>17062.706740000001</v>
      </c>
      <c r="AA39" s="1">
        <f t="shared" si="13"/>
        <v>-6937.2932600000004</v>
      </c>
      <c r="AB39" s="70">
        <f t="shared" si="14"/>
        <v>31000</v>
      </c>
      <c r="AC39" s="1">
        <f t="shared" si="15"/>
        <v>16302.289170506912</v>
      </c>
      <c r="AD39" s="68">
        <f t="shared" si="16"/>
        <v>1.2916666666666667</v>
      </c>
    </row>
    <row r="40" spans="2:30" x14ac:dyDescent="0.35">
      <c r="B40" s="7">
        <v>46057</v>
      </c>
      <c r="C40" s="10">
        <v>4000</v>
      </c>
      <c r="D40" s="1">
        <v>1844.568</v>
      </c>
      <c r="E40" s="11">
        <f t="shared" si="1"/>
        <v>-2155.4319999999998</v>
      </c>
      <c r="F40" s="15">
        <v>9000</v>
      </c>
      <c r="G40" s="1">
        <v>4014.8204800000003</v>
      </c>
      <c r="H40" s="16">
        <f t="shared" si="2"/>
        <v>-4985.1795199999997</v>
      </c>
      <c r="I40" s="15">
        <f t="shared" si="3"/>
        <v>13000</v>
      </c>
      <c r="J40" s="1">
        <f t="shared" si="4"/>
        <v>5859.3884800000005</v>
      </c>
      <c r="K40" s="17">
        <f t="shared" si="5"/>
        <v>-7140.6115199999995</v>
      </c>
      <c r="L40" s="9">
        <v>14000</v>
      </c>
      <c r="M40" s="11">
        <f t="shared" si="6"/>
        <v>6448.9677419354839</v>
      </c>
      <c r="N40" s="15">
        <v>7000</v>
      </c>
      <c r="O40" s="1">
        <v>6494.7027199999993</v>
      </c>
      <c r="P40" s="11">
        <f t="shared" si="7"/>
        <v>-505.29728000000068</v>
      </c>
      <c r="Q40" s="15">
        <v>4000</v>
      </c>
      <c r="R40" s="1">
        <v>2595.2207399999998</v>
      </c>
      <c r="S40" s="22">
        <f t="shared" si="8"/>
        <v>-1404.7792600000002</v>
      </c>
      <c r="T40" s="37">
        <f t="shared" si="9"/>
        <v>11000</v>
      </c>
      <c r="U40" s="2">
        <f t="shared" si="17"/>
        <v>9089.9234599999982</v>
      </c>
      <c r="V40" s="20">
        <f t="shared" si="18"/>
        <v>-1910.0765400000009</v>
      </c>
      <c r="W40" s="21">
        <v>17000</v>
      </c>
      <c r="X40" s="11">
        <f t="shared" si="19"/>
        <v>9853.3214285714294</v>
      </c>
      <c r="Y40" s="69">
        <f t="shared" si="11"/>
        <v>24000</v>
      </c>
      <c r="Z40" s="1">
        <f t="shared" si="12"/>
        <v>14949.31194</v>
      </c>
      <c r="AA40" s="1">
        <f t="shared" si="13"/>
        <v>-9050.6880600000004</v>
      </c>
      <c r="AB40" s="70">
        <f t="shared" si="14"/>
        <v>31000</v>
      </c>
      <c r="AC40" s="1">
        <f t="shared" si="15"/>
        <v>16302.289170506912</v>
      </c>
      <c r="AD40" s="68">
        <f t="shared" si="16"/>
        <v>1.2916666666666667</v>
      </c>
    </row>
    <row r="41" spans="2:30" x14ac:dyDescent="0.35">
      <c r="B41" s="7">
        <v>46058</v>
      </c>
      <c r="C41" s="10">
        <v>4000</v>
      </c>
      <c r="D41" s="1">
        <v>0</v>
      </c>
      <c r="E41" s="11">
        <f t="shared" si="1"/>
        <v>-4000</v>
      </c>
      <c r="F41" s="15">
        <v>9000</v>
      </c>
      <c r="G41" s="1">
        <v>3610.7058800000004</v>
      </c>
      <c r="H41" s="16">
        <f t="shared" si="2"/>
        <v>-5389.2941199999996</v>
      </c>
      <c r="I41" s="15">
        <f t="shared" si="3"/>
        <v>13000</v>
      </c>
      <c r="J41" s="1">
        <f t="shared" si="4"/>
        <v>3610.7058800000004</v>
      </c>
      <c r="K41" s="17">
        <f t="shared" si="5"/>
        <v>-9389.2941199999987</v>
      </c>
      <c r="L41" s="9">
        <v>14000</v>
      </c>
      <c r="M41" s="11">
        <f t="shared" si="6"/>
        <v>6448.9677419354839</v>
      </c>
      <c r="N41" s="15">
        <v>7000</v>
      </c>
      <c r="O41" s="1">
        <v>6441.3471900000004</v>
      </c>
      <c r="P41" s="11">
        <f t="shared" si="7"/>
        <v>-558.65280999999959</v>
      </c>
      <c r="Q41" s="15">
        <v>4000</v>
      </c>
      <c r="R41" s="1">
        <v>2387.5416599999999</v>
      </c>
      <c r="S41" s="22">
        <f t="shared" si="8"/>
        <v>-1612.4583400000001</v>
      </c>
      <c r="T41" s="37">
        <f t="shared" si="9"/>
        <v>11000</v>
      </c>
      <c r="U41" s="2">
        <f t="shared" si="17"/>
        <v>8828.8888499999994</v>
      </c>
      <c r="V41" s="20">
        <f t="shared" si="18"/>
        <v>-2171.1111499999997</v>
      </c>
      <c r="W41" s="21">
        <v>17000</v>
      </c>
      <c r="X41" s="11">
        <f t="shared" si="19"/>
        <v>9853.3214285714294</v>
      </c>
      <c r="Y41" s="69">
        <f t="shared" si="11"/>
        <v>24000</v>
      </c>
      <c r="Z41" s="1">
        <f t="shared" si="12"/>
        <v>12439.594730000001</v>
      </c>
      <c r="AA41" s="1">
        <f t="shared" si="13"/>
        <v>-11560.405269999999</v>
      </c>
      <c r="AB41" s="70">
        <f t="shared" si="14"/>
        <v>31000</v>
      </c>
      <c r="AC41" s="1">
        <f t="shared" si="15"/>
        <v>16302.289170506912</v>
      </c>
      <c r="AD41" s="68">
        <f t="shared" si="16"/>
        <v>1.2916666666666667</v>
      </c>
    </row>
    <row r="42" spans="2:30" x14ac:dyDescent="0.35">
      <c r="B42" s="7">
        <v>46059</v>
      </c>
      <c r="C42" s="10">
        <v>4000</v>
      </c>
      <c r="D42" s="1">
        <v>159.32400000000001</v>
      </c>
      <c r="E42" s="11">
        <f t="shared" si="1"/>
        <v>-3840.6759999999999</v>
      </c>
      <c r="F42" s="15">
        <v>9000</v>
      </c>
      <c r="G42" s="1">
        <v>3970.1219999999998</v>
      </c>
      <c r="H42" s="16">
        <f t="shared" si="2"/>
        <v>-5029.8780000000006</v>
      </c>
      <c r="I42" s="15">
        <f t="shared" si="3"/>
        <v>13000</v>
      </c>
      <c r="J42" s="1">
        <f t="shared" si="4"/>
        <v>4129.4459999999999</v>
      </c>
      <c r="K42" s="17">
        <f t="shared" si="5"/>
        <v>-8870.5540000000001</v>
      </c>
      <c r="L42" s="9">
        <v>14000</v>
      </c>
      <c r="M42" s="11">
        <f t="shared" si="6"/>
        <v>6448.9677419354839</v>
      </c>
      <c r="N42" s="15">
        <v>7000</v>
      </c>
      <c r="O42" s="1">
        <v>6375.2504000000008</v>
      </c>
      <c r="P42" s="11">
        <f t="shared" si="7"/>
        <v>-624.74959999999919</v>
      </c>
      <c r="Q42" s="15">
        <v>4000</v>
      </c>
      <c r="R42" s="1">
        <v>2405.7658799999999</v>
      </c>
      <c r="S42" s="22">
        <f t="shared" si="8"/>
        <v>-1594.2341200000001</v>
      </c>
      <c r="T42" s="37">
        <f t="shared" si="9"/>
        <v>11000</v>
      </c>
      <c r="U42" s="2">
        <f t="shared" si="17"/>
        <v>8781.0162799999998</v>
      </c>
      <c r="V42" s="20">
        <f t="shared" si="18"/>
        <v>-2218.9837199999993</v>
      </c>
      <c r="W42" s="21">
        <v>17000</v>
      </c>
      <c r="X42" s="11">
        <f t="shared" si="19"/>
        <v>9853.3214285714294</v>
      </c>
      <c r="Y42" s="69">
        <f t="shared" si="11"/>
        <v>24000</v>
      </c>
      <c r="Z42" s="1">
        <f t="shared" si="12"/>
        <v>12910.46228</v>
      </c>
      <c r="AA42" s="1">
        <f t="shared" si="13"/>
        <v>-11089.53772</v>
      </c>
      <c r="AB42" s="70">
        <f t="shared" si="14"/>
        <v>31000</v>
      </c>
      <c r="AC42" s="1">
        <f t="shared" si="15"/>
        <v>16302.289170506912</v>
      </c>
      <c r="AD42" s="68">
        <f t="shared" si="16"/>
        <v>1.2916666666666667</v>
      </c>
    </row>
    <row r="43" spans="2:30" x14ac:dyDescent="0.35">
      <c r="B43" s="7">
        <v>46060</v>
      </c>
      <c r="C43" s="10">
        <v>4000</v>
      </c>
      <c r="D43" s="1">
        <v>2390.982</v>
      </c>
      <c r="E43" s="11">
        <f t="shared" si="1"/>
        <v>-1609.018</v>
      </c>
      <c r="F43" s="15">
        <v>9000</v>
      </c>
      <c r="G43" s="1">
        <v>3989.70705</v>
      </c>
      <c r="H43" s="16">
        <f t="shared" si="2"/>
        <v>-5010.29295</v>
      </c>
      <c r="I43" s="15">
        <f t="shared" si="3"/>
        <v>13000</v>
      </c>
      <c r="J43" s="1">
        <f t="shared" si="4"/>
        <v>6380.68905</v>
      </c>
      <c r="K43" s="17">
        <f t="shared" si="5"/>
        <v>-6619.31095</v>
      </c>
      <c r="L43" s="9">
        <v>14000</v>
      </c>
      <c r="M43" s="11">
        <f t="shared" si="6"/>
        <v>6448.9677419354839</v>
      </c>
      <c r="N43" s="15">
        <v>7000</v>
      </c>
      <c r="O43" s="1">
        <v>6433.8372000000008</v>
      </c>
      <c r="P43" s="11">
        <f t="shared" si="7"/>
        <v>-566.16279999999915</v>
      </c>
      <c r="Q43" s="15">
        <v>4000</v>
      </c>
      <c r="R43" s="1">
        <v>2397.9904200000001</v>
      </c>
      <c r="S43" s="22">
        <f t="shared" si="8"/>
        <v>-1602.0095799999999</v>
      </c>
      <c r="T43" s="37">
        <f t="shared" si="9"/>
        <v>11000</v>
      </c>
      <c r="U43" s="2">
        <f t="shared" si="17"/>
        <v>8831.82762</v>
      </c>
      <c r="V43" s="20">
        <f t="shared" si="18"/>
        <v>-2168.1723799999991</v>
      </c>
      <c r="W43" s="21">
        <v>17000</v>
      </c>
      <c r="X43" s="11">
        <f t="shared" si="19"/>
        <v>9853.3214285714294</v>
      </c>
      <c r="Y43" s="69">
        <f t="shared" si="11"/>
        <v>24000</v>
      </c>
      <c r="Z43" s="1">
        <f t="shared" si="12"/>
        <v>15212.516670000001</v>
      </c>
      <c r="AA43" s="1">
        <f t="shared" si="13"/>
        <v>-8787.4833299999991</v>
      </c>
      <c r="AB43" s="70">
        <f t="shared" si="14"/>
        <v>31000</v>
      </c>
      <c r="AC43" s="1">
        <f t="shared" si="15"/>
        <v>16302.289170506912</v>
      </c>
      <c r="AD43" s="68">
        <f t="shared" si="16"/>
        <v>1.2916666666666667</v>
      </c>
    </row>
    <row r="44" spans="2:30" x14ac:dyDescent="0.35">
      <c r="B44" s="7">
        <v>46061</v>
      </c>
      <c r="C44" s="10">
        <v>4000</v>
      </c>
      <c r="D44" s="1">
        <v>3463.6963999999998</v>
      </c>
      <c r="E44" s="11">
        <f t="shared" si="1"/>
        <v>-536.30360000000019</v>
      </c>
      <c r="F44" s="15">
        <v>9000</v>
      </c>
      <c r="G44" s="1">
        <v>5184.06315</v>
      </c>
      <c r="H44" s="16">
        <f t="shared" si="2"/>
        <v>-3815.93685</v>
      </c>
      <c r="I44" s="15">
        <f t="shared" si="3"/>
        <v>13000</v>
      </c>
      <c r="J44" s="1">
        <f t="shared" si="4"/>
        <v>8647.7595499999989</v>
      </c>
      <c r="K44" s="17">
        <f t="shared" si="5"/>
        <v>-4352.2404500000002</v>
      </c>
      <c r="L44" s="9">
        <v>14000</v>
      </c>
      <c r="M44" s="11">
        <f t="shared" si="6"/>
        <v>6448.9677419354839</v>
      </c>
      <c r="N44" s="15">
        <v>7000</v>
      </c>
      <c r="O44" s="1">
        <v>6320.1366199999993</v>
      </c>
      <c r="P44" s="11">
        <f t="shared" si="7"/>
        <v>-679.86338000000069</v>
      </c>
      <c r="Q44" s="15">
        <v>4000</v>
      </c>
      <c r="R44" s="1">
        <v>2417.0044400000002</v>
      </c>
      <c r="S44" s="22">
        <f t="shared" si="8"/>
        <v>-1582.9955599999998</v>
      </c>
      <c r="T44" s="37">
        <f t="shared" si="9"/>
        <v>11000</v>
      </c>
      <c r="U44" s="2">
        <f t="shared" si="17"/>
        <v>8737.1410599999999</v>
      </c>
      <c r="V44" s="20">
        <f t="shared" si="18"/>
        <v>-2262.8589400000005</v>
      </c>
      <c r="W44" s="21">
        <v>17000</v>
      </c>
      <c r="X44" s="11">
        <f t="shared" si="19"/>
        <v>9853.3214285714294</v>
      </c>
      <c r="Y44" s="69">
        <f t="shared" si="11"/>
        <v>24000</v>
      </c>
      <c r="Z44" s="1">
        <f t="shared" si="12"/>
        <v>17384.900609999997</v>
      </c>
      <c r="AA44" s="1">
        <f t="shared" si="13"/>
        <v>-6615.0993900000012</v>
      </c>
      <c r="AB44" s="70">
        <f t="shared" si="14"/>
        <v>31000</v>
      </c>
      <c r="AC44" s="1">
        <f t="shared" si="15"/>
        <v>16302.289170506912</v>
      </c>
      <c r="AD44" s="68">
        <f t="shared" si="16"/>
        <v>1.2916666666666667</v>
      </c>
    </row>
    <row r="45" spans="2:30" x14ac:dyDescent="0.35">
      <c r="B45" s="7">
        <v>46062</v>
      </c>
      <c r="C45" s="10">
        <v>4000</v>
      </c>
      <c r="D45" s="1">
        <v>3506.9344000000001</v>
      </c>
      <c r="E45" s="11">
        <f t="shared" si="1"/>
        <v>-493.0655999999999</v>
      </c>
      <c r="F45" s="15">
        <v>9000</v>
      </c>
      <c r="G45" s="1">
        <v>5266.1875799999998</v>
      </c>
      <c r="H45" s="16">
        <f t="shared" si="2"/>
        <v>-3733.8124200000002</v>
      </c>
      <c r="I45" s="15">
        <f t="shared" si="3"/>
        <v>13000</v>
      </c>
      <c r="J45" s="1">
        <f t="shared" si="4"/>
        <v>8773.1219799999999</v>
      </c>
      <c r="K45" s="17">
        <f t="shared" si="5"/>
        <v>-4226.8780200000001</v>
      </c>
      <c r="L45" s="9">
        <v>14000</v>
      </c>
      <c r="M45" s="11">
        <f t="shared" si="6"/>
        <v>6448.9677419354839</v>
      </c>
      <c r="N45" s="15">
        <v>7000</v>
      </c>
      <c r="O45" s="1">
        <v>6381.5051500000009</v>
      </c>
      <c r="P45" s="11">
        <f t="shared" si="7"/>
        <v>-618.49484999999913</v>
      </c>
      <c r="Q45" s="15">
        <v>4000</v>
      </c>
      <c r="R45" s="1">
        <v>3642.7947599999998</v>
      </c>
      <c r="S45" s="22">
        <f t="shared" si="8"/>
        <v>-357.20524000000023</v>
      </c>
      <c r="T45" s="37">
        <f t="shared" si="9"/>
        <v>11000</v>
      </c>
      <c r="U45" s="2">
        <f t="shared" si="17"/>
        <v>10024.299910000002</v>
      </c>
      <c r="V45" s="20">
        <f t="shared" si="18"/>
        <v>-975.70008999999936</v>
      </c>
      <c r="W45" s="21">
        <v>17000</v>
      </c>
      <c r="X45" s="11">
        <f t="shared" si="19"/>
        <v>9853.3214285714294</v>
      </c>
      <c r="Y45" s="69">
        <f t="shared" si="11"/>
        <v>24000</v>
      </c>
      <c r="Z45" s="1">
        <f t="shared" si="12"/>
        <v>18797.421890000001</v>
      </c>
      <c r="AA45" s="1">
        <f t="shared" si="13"/>
        <v>-5202.5781099999995</v>
      </c>
      <c r="AB45" s="70">
        <f t="shared" si="14"/>
        <v>31000</v>
      </c>
      <c r="AC45" s="1">
        <f t="shared" si="15"/>
        <v>16302.289170506912</v>
      </c>
      <c r="AD45" s="68">
        <f t="shared" si="16"/>
        <v>1.2916666666666667</v>
      </c>
    </row>
    <row r="46" spans="2:30" x14ac:dyDescent="0.35">
      <c r="B46" s="7">
        <v>46063</v>
      </c>
      <c r="C46" s="10">
        <v>4000</v>
      </c>
      <c r="D46" s="1">
        <v>3242.6059999999998</v>
      </c>
      <c r="E46" s="11">
        <f t="shared" si="1"/>
        <v>-757.39400000000023</v>
      </c>
      <c r="F46" s="15">
        <v>9000</v>
      </c>
      <c r="G46" s="1">
        <v>5315.5817399999996</v>
      </c>
      <c r="H46" s="16">
        <f t="shared" si="2"/>
        <v>-3684.4182600000004</v>
      </c>
      <c r="I46" s="15">
        <f t="shared" si="3"/>
        <v>13000</v>
      </c>
      <c r="J46" s="1">
        <f t="shared" si="4"/>
        <v>8558.1877399999994</v>
      </c>
      <c r="K46" s="17">
        <f t="shared" si="5"/>
        <v>-4441.8122600000006</v>
      </c>
      <c r="L46" s="9">
        <v>14000</v>
      </c>
      <c r="M46" s="11">
        <f t="shared" si="6"/>
        <v>6448.9677419354839</v>
      </c>
      <c r="N46" s="15">
        <v>7000</v>
      </c>
      <c r="O46" s="1">
        <v>6640.9960800000008</v>
      </c>
      <c r="P46" s="11">
        <f t="shared" si="7"/>
        <v>-359.0039199999992</v>
      </c>
      <c r="Q46" s="15">
        <v>4000</v>
      </c>
      <c r="R46" s="1">
        <v>3629.1436400000002</v>
      </c>
      <c r="S46" s="22">
        <f t="shared" si="8"/>
        <v>-370.85635999999977</v>
      </c>
      <c r="T46" s="37">
        <f t="shared" si="9"/>
        <v>11000</v>
      </c>
      <c r="U46" s="2">
        <f t="shared" si="17"/>
        <v>10270.139720000001</v>
      </c>
      <c r="V46" s="20">
        <f t="shared" si="18"/>
        <v>-729.86027999999897</v>
      </c>
      <c r="W46" s="21">
        <v>17000</v>
      </c>
      <c r="X46" s="11">
        <f t="shared" si="19"/>
        <v>9853.3214285714294</v>
      </c>
      <c r="Y46" s="69">
        <f t="shared" si="11"/>
        <v>24000</v>
      </c>
      <c r="Z46" s="1">
        <f t="shared" si="12"/>
        <v>18828.32746</v>
      </c>
      <c r="AA46" s="1">
        <f t="shared" si="13"/>
        <v>-5171.6725399999996</v>
      </c>
      <c r="AB46" s="70">
        <f t="shared" si="14"/>
        <v>31000</v>
      </c>
      <c r="AC46" s="1">
        <f t="shared" si="15"/>
        <v>16302.289170506912</v>
      </c>
      <c r="AD46" s="68">
        <f t="shared" si="16"/>
        <v>1.2916666666666667</v>
      </c>
    </row>
    <row r="47" spans="2:30" x14ac:dyDescent="0.35">
      <c r="B47" s="7">
        <v>46064</v>
      </c>
      <c r="C47" s="10">
        <v>4000</v>
      </c>
      <c r="D47" s="1">
        <v>3859.5</v>
      </c>
      <c r="E47" s="11">
        <f t="shared" si="1"/>
        <v>-140.5</v>
      </c>
      <c r="F47" s="15">
        <v>9000</v>
      </c>
      <c r="G47" s="1">
        <v>5376.1294200000002</v>
      </c>
      <c r="H47" s="16">
        <f t="shared" si="2"/>
        <v>-3623.8705799999998</v>
      </c>
      <c r="I47" s="15">
        <f t="shared" si="3"/>
        <v>13000</v>
      </c>
      <c r="J47" s="1">
        <f t="shared" si="4"/>
        <v>9235.6294200000011</v>
      </c>
      <c r="K47" s="17">
        <f t="shared" si="5"/>
        <v>-3764.3705799999998</v>
      </c>
      <c r="L47" s="9">
        <v>14000</v>
      </c>
      <c r="M47" s="11">
        <f t="shared" si="6"/>
        <v>6448.9677419354839</v>
      </c>
      <c r="N47" s="15">
        <v>7000</v>
      </c>
      <c r="O47" s="1">
        <v>7056.7727999999997</v>
      </c>
      <c r="P47" s="11">
        <f t="shared" si="7"/>
        <v>56.772799999999734</v>
      </c>
      <c r="Q47" s="15">
        <v>4000</v>
      </c>
      <c r="R47" s="1">
        <v>3495.6504400000003</v>
      </c>
      <c r="S47" s="22">
        <f t="shared" si="8"/>
        <v>-504.34955999999966</v>
      </c>
      <c r="T47" s="37">
        <f t="shared" si="9"/>
        <v>11000</v>
      </c>
      <c r="U47" s="2">
        <f t="shared" si="17"/>
        <v>10552.42324</v>
      </c>
      <c r="V47" s="20">
        <f t="shared" si="18"/>
        <v>-447.57675999999992</v>
      </c>
      <c r="W47" s="21">
        <v>17000</v>
      </c>
      <c r="X47" s="11">
        <f t="shared" si="19"/>
        <v>9853.3214285714294</v>
      </c>
      <c r="Y47" s="69">
        <f t="shared" si="11"/>
        <v>24000</v>
      </c>
      <c r="Z47" s="1">
        <f t="shared" si="12"/>
        <v>19788.052660000001</v>
      </c>
      <c r="AA47" s="1">
        <f t="shared" si="13"/>
        <v>-4211.9473399999997</v>
      </c>
      <c r="AB47" s="70">
        <f t="shared" si="14"/>
        <v>31000</v>
      </c>
      <c r="AC47" s="1">
        <f t="shared" si="15"/>
        <v>16302.289170506912</v>
      </c>
      <c r="AD47" s="68">
        <f t="shared" si="16"/>
        <v>1.2916666666666667</v>
      </c>
    </row>
    <row r="48" spans="2:30" x14ac:dyDescent="0.35">
      <c r="B48" s="7">
        <v>46065</v>
      </c>
      <c r="C48" s="10">
        <v>4000</v>
      </c>
      <c r="D48" s="1">
        <v>3688.038</v>
      </c>
      <c r="E48" s="11">
        <f t="shared" si="1"/>
        <v>-311.96199999999999</v>
      </c>
      <c r="F48" s="15">
        <v>9000</v>
      </c>
      <c r="G48" s="1">
        <v>4652.4925199999998</v>
      </c>
      <c r="H48" s="16">
        <f t="shared" si="2"/>
        <v>-4347.5074800000002</v>
      </c>
      <c r="I48" s="15">
        <f t="shared" si="3"/>
        <v>13000</v>
      </c>
      <c r="J48" s="1">
        <f t="shared" si="4"/>
        <v>8340.5305200000003</v>
      </c>
      <c r="K48" s="17">
        <f t="shared" si="5"/>
        <v>-4659.4694799999997</v>
      </c>
      <c r="L48" s="9">
        <v>14000</v>
      </c>
      <c r="M48" s="11">
        <f t="shared" si="6"/>
        <v>6448.9677419354839</v>
      </c>
      <c r="N48" s="15">
        <v>7000</v>
      </c>
      <c r="O48" s="1">
        <v>7074.5658000000003</v>
      </c>
      <c r="P48" s="11">
        <f t="shared" si="7"/>
        <v>74.565800000000309</v>
      </c>
      <c r="Q48" s="15">
        <v>4000</v>
      </c>
      <c r="R48" s="1">
        <v>3456.2464199999999</v>
      </c>
      <c r="S48" s="22">
        <f t="shared" si="8"/>
        <v>-543.75358000000006</v>
      </c>
      <c r="T48" s="37">
        <f t="shared" si="9"/>
        <v>11000</v>
      </c>
      <c r="U48" s="2">
        <f t="shared" si="17"/>
        <v>10530.81222</v>
      </c>
      <c r="V48" s="20">
        <f t="shared" si="18"/>
        <v>-469.18777999999975</v>
      </c>
      <c r="W48" s="21">
        <v>17000</v>
      </c>
      <c r="X48" s="11">
        <f t="shared" si="19"/>
        <v>9853.3214285714294</v>
      </c>
      <c r="Y48" s="69">
        <f t="shared" si="11"/>
        <v>24000</v>
      </c>
      <c r="Z48" s="1">
        <f t="shared" si="12"/>
        <v>18871.34274</v>
      </c>
      <c r="AA48" s="1">
        <f t="shared" si="13"/>
        <v>-5128.65726</v>
      </c>
      <c r="AB48" s="70">
        <f t="shared" si="14"/>
        <v>31000</v>
      </c>
      <c r="AC48" s="1">
        <f t="shared" si="15"/>
        <v>16302.289170506912</v>
      </c>
      <c r="AD48" s="68">
        <f t="shared" si="16"/>
        <v>1.2916666666666667</v>
      </c>
    </row>
    <row r="49" spans="2:30" x14ac:dyDescent="0.35">
      <c r="B49" s="7">
        <v>46066</v>
      </c>
      <c r="C49" s="10">
        <v>4000</v>
      </c>
      <c r="D49" s="1">
        <v>3429.1135999999997</v>
      </c>
      <c r="E49" s="11">
        <f t="shared" si="1"/>
        <v>-570.88640000000032</v>
      </c>
      <c r="F49" s="15">
        <v>9000</v>
      </c>
      <c r="G49" s="1">
        <v>4626.2652900000003</v>
      </c>
      <c r="H49" s="16">
        <f t="shared" si="2"/>
        <v>-4373.7347099999997</v>
      </c>
      <c r="I49" s="15">
        <f t="shared" si="3"/>
        <v>13000</v>
      </c>
      <c r="J49" s="1">
        <f t="shared" si="4"/>
        <v>8055.37889</v>
      </c>
      <c r="K49" s="17">
        <f t="shared" si="5"/>
        <v>-4944.62111</v>
      </c>
      <c r="L49" s="9">
        <v>14000</v>
      </c>
      <c r="M49" s="11">
        <f t="shared" si="6"/>
        <v>6448.9677419354839</v>
      </c>
      <c r="N49" s="15">
        <v>7000</v>
      </c>
      <c r="O49" s="1">
        <v>7011.7622000000001</v>
      </c>
      <c r="P49" s="11">
        <f t="shared" si="7"/>
        <v>11.762200000000121</v>
      </c>
      <c r="Q49" s="15">
        <v>4000</v>
      </c>
      <c r="R49" s="1">
        <v>3434.3951400000001</v>
      </c>
      <c r="S49" s="22">
        <f t="shared" si="8"/>
        <v>-565.60485999999992</v>
      </c>
      <c r="T49" s="37">
        <f t="shared" si="9"/>
        <v>11000</v>
      </c>
      <c r="U49" s="2">
        <f t="shared" si="17"/>
        <v>10446.15734</v>
      </c>
      <c r="V49" s="20">
        <f t="shared" si="18"/>
        <v>-553.8426599999998</v>
      </c>
      <c r="W49" s="21">
        <v>17000</v>
      </c>
      <c r="X49" s="11">
        <f t="shared" si="19"/>
        <v>9853.3214285714294</v>
      </c>
      <c r="Y49" s="69">
        <f t="shared" si="11"/>
        <v>24000</v>
      </c>
      <c r="Z49" s="1">
        <f t="shared" si="12"/>
        <v>18501.536229999998</v>
      </c>
      <c r="AA49" s="1">
        <f t="shared" si="13"/>
        <v>-5498.4637700000003</v>
      </c>
      <c r="AB49" s="70">
        <f t="shared" si="14"/>
        <v>31000</v>
      </c>
      <c r="AC49" s="1">
        <f t="shared" si="15"/>
        <v>16302.289170506912</v>
      </c>
      <c r="AD49" s="68">
        <f t="shared" si="16"/>
        <v>1.2916666666666667</v>
      </c>
    </row>
    <row r="50" spans="2:30" x14ac:dyDescent="0.35">
      <c r="B50" s="7">
        <v>46067</v>
      </c>
      <c r="C50" s="10">
        <v>4000</v>
      </c>
      <c r="D50" s="1">
        <v>3214.5031999999997</v>
      </c>
      <c r="E50" s="11">
        <f t="shared" si="1"/>
        <v>-785.49680000000035</v>
      </c>
      <c r="F50" s="15">
        <v>9000</v>
      </c>
      <c r="G50" s="1">
        <v>4372.5097999999998</v>
      </c>
      <c r="H50" s="16">
        <f t="shared" si="2"/>
        <v>-4627.4902000000002</v>
      </c>
      <c r="I50" s="15">
        <f t="shared" si="3"/>
        <v>13000</v>
      </c>
      <c r="J50" s="1">
        <f t="shared" si="4"/>
        <v>7587.012999999999</v>
      </c>
      <c r="K50" s="17">
        <f t="shared" si="5"/>
        <v>-5412.987000000001</v>
      </c>
      <c r="L50" s="9">
        <v>14000</v>
      </c>
      <c r="M50" s="11">
        <f t="shared" si="6"/>
        <v>6448.9677419354839</v>
      </c>
      <c r="N50" s="15">
        <v>7000</v>
      </c>
      <c r="O50" s="1">
        <v>2271.4423199999997</v>
      </c>
      <c r="P50" s="11">
        <f t="shared" si="7"/>
        <v>-4728.5576799999999</v>
      </c>
      <c r="Q50" s="15">
        <v>4000</v>
      </c>
      <c r="R50" s="1">
        <v>3326.4277199999997</v>
      </c>
      <c r="S50" s="22">
        <f t="shared" si="8"/>
        <v>-673.57228000000032</v>
      </c>
      <c r="T50" s="37">
        <f t="shared" si="9"/>
        <v>11000</v>
      </c>
      <c r="U50" s="2">
        <f t="shared" si="17"/>
        <v>5597.8700399999998</v>
      </c>
      <c r="V50" s="20">
        <f t="shared" si="18"/>
        <v>-5402.1299600000002</v>
      </c>
      <c r="W50" s="21">
        <v>17000</v>
      </c>
      <c r="X50" s="11">
        <f t="shared" si="19"/>
        <v>9853.3214285714294</v>
      </c>
      <c r="Y50" s="69">
        <f t="shared" si="11"/>
        <v>24000</v>
      </c>
      <c r="Z50" s="1">
        <f t="shared" si="12"/>
        <v>13184.883039999999</v>
      </c>
      <c r="AA50" s="1">
        <f t="shared" si="13"/>
        <v>-10815.116960000001</v>
      </c>
      <c r="AB50" s="70">
        <f t="shared" si="14"/>
        <v>31000</v>
      </c>
      <c r="AC50" s="1">
        <f t="shared" si="15"/>
        <v>16302.289170506912</v>
      </c>
      <c r="AD50" s="68">
        <f t="shared" si="16"/>
        <v>1.2916666666666667</v>
      </c>
    </row>
    <row r="51" spans="2:30" x14ac:dyDescent="0.35">
      <c r="B51" s="7">
        <v>46068</v>
      </c>
      <c r="C51" s="10">
        <v>4000</v>
      </c>
      <c r="D51" s="1">
        <v>3041.8440000000001</v>
      </c>
      <c r="E51" s="11">
        <f t="shared" si="1"/>
        <v>-958.15599999999995</v>
      </c>
      <c r="F51" s="15">
        <v>9000</v>
      </c>
      <c r="G51" s="1">
        <v>4321.8873999999996</v>
      </c>
      <c r="H51" s="16">
        <f t="shared" si="2"/>
        <v>-4678.1126000000004</v>
      </c>
      <c r="I51" s="15">
        <f t="shared" si="3"/>
        <v>13000</v>
      </c>
      <c r="J51" s="1">
        <f t="shared" si="4"/>
        <v>7363.7313999999997</v>
      </c>
      <c r="K51" s="17">
        <f t="shared" si="5"/>
        <v>-5636.2686000000003</v>
      </c>
      <c r="L51" s="9">
        <v>14000</v>
      </c>
      <c r="M51" s="11">
        <f t="shared" si="6"/>
        <v>6448.9677419354839</v>
      </c>
      <c r="N51" s="15">
        <v>7000</v>
      </c>
      <c r="O51" s="1">
        <v>0</v>
      </c>
      <c r="P51" s="11">
        <f t="shared" si="7"/>
        <v>-7000</v>
      </c>
      <c r="Q51" s="15">
        <v>4000</v>
      </c>
      <c r="R51" s="1">
        <v>3126.6972000000001</v>
      </c>
      <c r="S51" s="22">
        <f t="shared" si="8"/>
        <v>-873.30279999999993</v>
      </c>
      <c r="T51" s="37">
        <f t="shared" si="9"/>
        <v>11000</v>
      </c>
      <c r="U51" s="2">
        <f t="shared" si="17"/>
        <v>3126.6972000000001</v>
      </c>
      <c r="V51" s="20">
        <f t="shared" si="18"/>
        <v>-7873.3027999999995</v>
      </c>
      <c r="W51" s="21">
        <v>17000</v>
      </c>
      <c r="X51" s="11">
        <f t="shared" si="19"/>
        <v>9853.3214285714294</v>
      </c>
      <c r="Y51" s="69">
        <f t="shared" si="11"/>
        <v>24000</v>
      </c>
      <c r="Z51" s="1">
        <f t="shared" si="12"/>
        <v>10490.428599999999</v>
      </c>
      <c r="AA51" s="1">
        <f t="shared" si="13"/>
        <v>-13509.571400000001</v>
      </c>
      <c r="AB51" s="70">
        <f t="shared" si="14"/>
        <v>31000</v>
      </c>
      <c r="AC51" s="1">
        <f t="shared" si="15"/>
        <v>16302.289170506912</v>
      </c>
      <c r="AD51" s="68">
        <f t="shared" si="16"/>
        <v>1.2916666666666667</v>
      </c>
    </row>
    <row r="52" spans="2:30" x14ac:dyDescent="0.35">
      <c r="B52" s="7">
        <v>46069</v>
      </c>
      <c r="C52" s="10">
        <v>4000</v>
      </c>
      <c r="D52" s="1">
        <v>3156.7305000000001</v>
      </c>
      <c r="E52" s="11">
        <f t="shared" si="1"/>
        <v>-843.26949999999988</v>
      </c>
      <c r="F52" s="15">
        <v>9000</v>
      </c>
      <c r="G52" s="1">
        <v>4478.5705200000002</v>
      </c>
      <c r="H52" s="16">
        <f t="shared" si="2"/>
        <v>-4521.4294799999998</v>
      </c>
      <c r="I52" s="15">
        <f t="shared" si="3"/>
        <v>13000</v>
      </c>
      <c r="J52" s="1">
        <f t="shared" si="4"/>
        <v>7635.3010200000008</v>
      </c>
      <c r="K52" s="17">
        <f t="shared" si="5"/>
        <v>-5364.6989799999992</v>
      </c>
      <c r="L52" s="9">
        <v>14000</v>
      </c>
      <c r="M52" s="11">
        <f t="shared" si="6"/>
        <v>6448.9677419354839</v>
      </c>
      <c r="N52" s="15">
        <v>7000</v>
      </c>
      <c r="O52" s="1">
        <v>0</v>
      </c>
      <c r="P52" s="11">
        <f t="shared" si="7"/>
        <v>-7000</v>
      </c>
      <c r="Q52" s="15">
        <v>4000</v>
      </c>
      <c r="R52" s="1">
        <v>3141.7189999999996</v>
      </c>
      <c r="S52" s="22">
        <f t="shared" si="8"/>
        <v>-858.2810000000004</v>
      </c>
      <c r="T52" s="37">
        <f t="shared" si="9"/>
        <v>11000</v>
      </c>
      <c r="U52" s="2">
        <f t="shared" si="17"/>
        <v>3141.7189999999996</v>
      </c>
      <c r="V52" s="20">
        <f t="shared" si="18"/>
        <v>-7858.2810000000009</v>
      </c>
      <c r="W52" s="21">
        <v>17000</v>
      </c>
      <c r="X52" s="11">
        <f t="shared" si="19"/>
        <v>9853.3214285714294</v>
      </c>
      <c r="Y52" s="69">
        <f t="shared" si="11"/>
        <v>24000</v>
      </c>
      <c r="Z52" s="1">
        <f t="shared" si="12"/>
        <v>10777.02002</v>
      </c>
      <c r="AA52" s="1">
        <f t="shared" si="13"/>
        <v>-13222.97998</v>
      </c>
      <c r="AB52" s="70">
        <f t="shared" si="14"/>
        <v>31000</v>
      </c>
      <c r="AC52" s="1">
        <f t="shared" si="15"/>
        <v>16302.289170506912</v>
      </c>
      <c r="AD52" s="68">
        <f t="shared" si="16"/>
        <v>1.2916666666666667</v>
      </c>
    </row>
    <row r="53" spans="2:30" x14ac:dyDescent="0.35">
      <c r="B53" s="7">
        <v>46070</v>
      </c>
      <c r="C53" s="10">
        <v>4000</v>
      </c>
      <c r="D53" s="1">
        <v>2993.1605999999997</v>
      </c>
      <c r="E53" s="11">
        <f t="shared" si="1"/>
        <v>-1006.8394000000003</v>
      </c>
      <c r="F53" s="15">
        <v>9000</v>
      </c>
      <c r="G53" s="1">
        <v>5125.1103999999996</v>
      </c>
      <c r="H53" s="16">
        <f t="shared" si="2"/>
        <v>-3874.8896000000004</v>
      </c>
      <c r="I53" s="15">
        <f t="shared" si="3"/>
        <v>13000</v>
      </c>
      <c r="J53" s="1">
        <f t="shared" si="4"/>
        <v>8118.2709999999988</v>
      </c>
      <c r="K53" s="17">
        <f t="shared" si="5"/>
        <v>-4881.7290000000012</v>
      </c>
      <c r="L53" s="9">
        <v>14000</v>
      </c>
      <c r="M53" s="11">
        <f t="shared" si="6"/>
        <v>6448.9677419354839</v>
      </c>
      <c r="N53" s="15">
        <v>7000</v>
      </c>
      <c r="O53" s="1">
        <v>0</v>
      </c>
      <c r="P53" s="11">
        <f t="shared" si="7"/>
        <v>-7000</v>
      </c>
      <c r="Q53" s="15">
        <v>4000</v>
      </c>
      <c r="R53" s="1">
        <v>2947.6893599999999</v>
      </c>
      <c r="S53" s="22">
        <f t="shared" si="8"/>
        <v>-1052.3106400000001</v>
      </c>
      <c r="T53" s="37">
        <f t="shared" si="9"/>
        <v>11000</v>
      </c>
      <c r="U53" s="2">
        <f t="shared" si="17"/>
        <v>2947.6893599999999</v>
      </c>
      <c r="V53" s="20">
        <f t="shared" si="18"/>
        <v>-8052.3106399999997</v>
      </c>
      <c r="W53" s="21">
        <v>17000</v>
      </c>
      <c r="X53" s="11">
        <f t="shared" si="19"/>
        <v>9853.3214285714294</v>
      </c>
      <c r="Y53" s="69">
        <f t="shared" si="11"/>
        <v>24000</v>
      </c>
      <c r="Z53" s="1">
        <f t="shared" si="12"/>
        <v>11065.960359999999</v>
      </c>
      <c r="AA53" s="1">
        <f t="shared" si="13"/>
        <v>-12934.039640000001</v>
      </c>
      <c r="AB53" s="70">
        <f t="shared" si="14"/>
        <v>31000</v>
      </c>
      <c r="AC53" s="1">
        <f t="shared" si="15"/>
        <v>16302.289170506912</v>
      </c>
      <c r="AD53" s="68">
        <f t="shared" si="16"/>
        <v>1.2916666666666667</v>
      </c>
    </row>
    <row r="54" spans="2:30" x14ac:dyDescent="0.35">
      <c r="B54" s="7">
        <v>46071</v>
      </c>
      <c r="C54" s="10">
        <v>4000</v>
      </c>
      <c r="D54" s="1">
        <v>3501.3244999999997</v>
      </c>
      <c r="E54" s="11">
        <f t="shared" si="1"/>
        <v>-498.67550000000028</v>
      </c>
      <c r="F54" s="15">
        <v>9000</v>
      </c>
      <c r="G54" s="1">
        <v>5652.3976599999996</v>
      </c>
      <c r="H54" s="16">
        <f t="shared" si="2"/>
        <v>-3347.6023400000004</v>
      </c>
      <c r="I54" s="15">
        <f t="shared" si="3"/>
        <v>13000</v>
      </c>
      <c r="J54" s="1">
        <f t="shared" si="4"/>
        <v>9153.7221599999993</v>
      </c>
      <c r="K54" s="17">
        <f t="shared" si="5"/>
        <v>-3846.2778400000007</v>
      </c>
      <c r="L54" s="9">
        <v>14000</v>
      </c>
      <c r="M54" s="11">
        <f t="shared" si="6"/>
        <v>6448.9677419354839</v>
      </c>
      <c r="N54" s="15">
        <v>7000</v>
      </c>
      <c r="O54" s="1">
        <v>0</v>
      </c>
      <c r="P54" s="11">
        <f t="shared" si="7"/>
        <v>-7000</v>
      </c>
      <c r="Q54" s="15">
        <v>4000</v>
      </c>
      <c r="R54" s="1">
        <v>2954.84112</v>
      </c>
      <c r="S54" s="22">
        <f t="shared" si="8"/>
        <v>-1045.15888</v>
      </c>
      <c r="T54" s="37">
        <f t="shared" si="9"/>
        <v>11000</v>
      </c>
      <c r="U54" s="2">
        <f t="shared" si="17"/>
        <v>2954.84112</v>
      </c>
      <c r="V54" s="20">
        <f t="shared" si="18"/>
        <v>-8045.15888</v>
      </c>
      <c r="W54" s="21">
        <v>17000</v>
      </c>
      <c r="X54" s="11">
        <f t="shared" si="19"/>
        <v>9853.3214285714294</v>
      </c>
      <c r="Y54" s="69">
        <f t="shared" si="11"/>
        <v>24000</v>
      </c>
      <c r="Z54" s="1">
        <f t="shared" si="12"/>
        <v>12108.563279999998</v>
      </c>
      <c r="AA54" s="1">
        <f t="shared" si="13"/>
        <v>-11891.436720000002</v>
      </c>
      <c r="AB54" s="70">
        <f t="shared" si="14"/>
        <v>31000</v>
      </c>
      <c r="AC54" s="1">
        <f t="shared" si="15"/>
        <v>16302.289170506912</v>
      </c>
      <c r="AD54" s="68">
        <f t="shared" si="16"/>
        <v>1.2916666666666667</v>
      </c>
    </row>
    <row r="55" spans="2:30" x14ac:dyDescent="0.35">
      <c r="B55" s="7">
        <v>46072</v>
      </c>
      <c r="C55" s="10">
        <v>4000</v>
      </c>
      <c r="D55" s="1">
        <v>3440.7080000000001</v>
      </c>
      <c r="E55" s="11">
        <f t="shared" si="1"/>
        <v>-559.29199999999992</v>
      </c>
      <c r="F55" s="15">
        <v>9000</v>
      </c>
      <c r="G55" s="1">
        <v>5730.6211199999998</v>
      </c>
      <c r="H55" s="16">
        <f t="shared" si="2"/>
        <v>-3269.3788800000002</v>
      </c>
      <c r="I55" s="15">
        <f t="shared" si="3"/>
        <v>13000</v>
      </c>
      <c r="J55" s="1">
        <f t="shared" si="4"/>
        <v>9171.3291200000003</v>
      </c>
      <c r="K55" s="17">
        <f t="shared" si="5"/>
        <v>-3828.6708800000001</v>
      </c>
      <c r="L55" s="9">
        <v>14000</v>
      </c>
      <c r="M55" s="11">
        <f t="shared" si="6"/>
        <v>6448.9677419354839</v>
      </c>
      <c r="N55" s="15">
        <v>7000</v>
      </c>
      <c r="O55" s="1">
        <v>1558.4270399999998</v>
      </c>
      <c r="P55" s="11">
        <f t="shared" si="7"/>
        <v>-5441.5729600000004</v>
      </c>
      <c r="Q55" s="15">
        <v>4000</v>
      </c>
      <c r="R55" s="1">
        <v>3405.5991199999999</v>
      </c>
      <c r="S55" s="22">
        <f t="shared" si="8"/>
        <v>-594.40088000000014</v>
      </c>
      <c r="T55" s="37">
        <f t="shared" si="9"/>
        <v>11000</v>
      </c>
      <c r="U55" s="2">
        <f t="shared" si="17"/>
        <v>4964.0261599999994</v>
      </c>
      <c r="V55" s="20">
        <f t="shared" si="18"/>
        <v>-6035.9738400000006</v>
      </c>
      <c r="W55" s="21">
        <v>17000</v>
      </c>
      <c r="X55" s="11">
        <f t="shared" si="19"/>
        <v>9853.3214285714294</v>
      </c>
      <c r="Y55" s="69">
        <f t="shared" si="11"/>
        <v>24000</v>
      </c>
      <c r="Z55" s="1">
        <f t="shared" si="12"/>
        <v>14135.35528</v>
      </c>
      <c r="AA55" s="1">
        <f t="shared" si="13"/>
        <v>-9864.6447200000002</v>
      </c>
      <c r="AB55" s="70">
        <f t="shared" si="14"/>
        <v>31000</v>
      </c>
      <c r="AC55" s="1">
        <f t="shared" si="15"/>
        <v>16302.289170506912</v>
      </c>
      <c r="AD55" s="68">
        <f t="shared" si="16"/>
        <v>1.2916666666666667</v>
      </c>
    </row>
    <row r="56" spans="2:30" x14ac:dyDescent="0.35">
      <c r="B56" s="7">
        <v>46073</v>
      </c>
      <c r="C56" s="10">
        <v>4000</v>
      </c>
      <c r="D56" s="1">
        <v>3625.444</v>
      </c>
      <c r="E56" s="11">
        <f t="shared" si="1"/>
        <v>-374.55600000000004</v>
      </c>
      <c r="F56" s="15">
        <v>9000</v>
      </c>
      <c r="G56" s="1">
        <v>6908.1638000000003</v>
      </c>
      <c r="H56" s="16">
        <f t="shared" si="2"/>
        <v>-2091.8361999999997</v>
      </c>
      <c r="I56" s="15">
        <f t="shared" si="3"/>
        <v>13000</v>
      </c>
      <c r="J56" s="1">
        <f t="shared" si="4"/>
        <v>10533.6078</v>
      </c>
      <c r="K56" s="17">
        <f t="shared" si="5"/>
        <v>-2466.3921999999998</v>
      </c>
      <c r="L56" s="9">
        <v>14000</v>
      </c>
      <c r="M56" s="11">
        <f t="shared" si="6"/>
        <v>6448.9677419354839</v>
      </c>
      <c r="N56" s="15">
        <v>7000</v>
      </c>
      <c r="O56" s="1">
        <v>5880.9533299999994</v>
      </c>
      <c r="P56" s="11">
        <f t="shared" si="7"/>
        <v>-1119.0466700000006</v>
      </c>
      <c r="Q56" s="15">
        <v>4000</v>
      </c>
      <c r="R56" s="1">
        <v>3202.30206</v>
      </c>
      <c r="S56" s="22">
        <f t="shared" si="8"/>
        <v>-797.69794000000002</v>
      </c>
      <c r="T56" s="37">
        <f t="shared" si="9"/>
        <v>11000</v>
      </c>
      <c r="U56" s="2">
        <f t="shared" si="17"/>
        <v>9083.2553899999984</v>
      </c>
      <c r="V56" s="20">
        <f t="shared" si="18"/>
        <v>-1916.7446100000006</v>
      </c>
      <c r="W56" s="21">
        <v>17000</v>
      </c>
      <c r="X56" s="11">
        <f t="shared" si="19"/>
        <v>9853.3214285714294</v>
      </c>
      <c r="Y56" s="69">
        <f t="shared" si="11"/>
        <v>24000</v>
      </c>
      <c r="Z56" s="1">
        <f t="shared" si="12"/>
        <v>19616.863189999996</v>
      </c>
      <c r="AA56" s="1">
        <f t="shared" si="13"/>
        <v>-4383.13681</v>
      </c>
      <c r="AB56" s="70">
        <f t="shared" si="14"/>
        <v>31000</v>
      </c>
      <c r="AC56" s="1">
        <f t="shared" si="15"/>
        <v>16302.289170506912</v>
      </c>
      <c r="AD56" s="68">
        <f t="shared" si="16"/>
        <v>1.2916666666666667</v>
      </c>
    </row>
    <row r="57" spans="2:30" x14ac:dyDescent="0.35">
      <c r="B57" s="7">
        <v>46074</v>
      </c>
      <c r="C57" s="10">
        <v>4000</v>
      </c>
      <c r="D57" s="1">
        <v>3218.8224</v>
      </c>
      <c r="E57" s="11">
        <f t="shared" si="1"/>
        <v>-781.17759999999998</v>
      </c>
      <c r="F57" s="15">
        <v>9000</v>
      </c>
      <c r="G57" s="1">
        <v>7851.1932600000009</v>
      </c>
      <c r="H57" s="16">
        <f t="shared" si="2"/>
        <v>-1148.8067399999991</v>
      </c>
      <c r="I57" s="15">
        <f t="shared" si="3"/>
        <v>13000</v>
      </c>
      <c r="J57" s="1">
        <f t="shared" si="4"/>
        <v>11070.015660000001</v>
      </c>
      <c r="K57" s="17">
        <f t="shared" si="5"/>
        <v>-1929.9843399999991</v>
      </c>
      <c r="L57" s="9">
        <v>14000</v>
      </c>
      <c r="M57" s="11">
        <f t="shared" si="6"/>
        <v>6448.9677419354839</v>
      </c>
      <c r="N57" s="15">
        <v>7000</v>
      </c>
      <c r="O57" s="1">
        <v>5750.0501399999994</v>
      </c>
      <c r="P57" s="11">
        <f t="shared" si="7"/>
        <v>-1249.9498600000006</v>
      </c>
      <c r="Q57" s="15">
        <v>4000</v>
      </c>
      <c r="R57" s="1">
        <v>3192.0505199999998</v>
      </c>
      <c r="S57" s="22">
        <f t="shared" si="8"/>
        <v>-807.94948000000022</v>
      </c>
      <c r="T57" s="37">
        <f t="shared" si="9"/>
        <v>11000</v>
      </c>
      <c r="U57" s="2">
        <f t="shared" si="17"/>
        <v>8942.1006600000001</v>
      </c>
      <c r="V57" s="20">
        <f t="shared" si="18"/>
        <v>-2057.8993400000008</v>
      </c>
      <c r="W57" s="21">
        <v>17000</v>
      </c>
      <c r="X57" s="11">
        <f t="shared" si="19"/>
        <v>9853.3214285714294</v>
      </c>
      <c r="Y57" s="69">
        <f t="shared" si="11"/>
        <v>24000</v>
      </c>
      <c r="Z57" s="1">
        <f t="shared" si="12"/>
        <v>20012.116320000001</v>
      </c>
      <c r="AA57" s="1">
        <f t="shared" si="13"/>
        <v>-3987.8836799999999</v>
      </c>
      <c r="AB57" s="70">
        <f t="shared" si="14"/>
        <v>31000</v>
      </c>
      <c r="AC57" s="1">
        <f t="shared" si="15"/>
        <v>16302.289170506912</v>
      </c>
      <c r="AD57" s="68">
        <f t="shared" si="16"/>
        <v>1.2916666666666667</v>
      </c>
    </row>
    <row r="58" spans="2:30" x14ac:dyDescent="0.35">
      <c r="B58" s="7">
        <v>46075</v>
      </c>
      <c r="C58" s="10">
        <v>4000</v>
      </c>
      <c r="D58" s="1">
        <v>3196.2651000000001</v>
      </c>
      <c r="E58" s="11">
        <f t="shared" si="1"/>
        <v>-803.73489999999993</v>
      </c>
      <c r="F58" s="15">
        <v>9000</v>
      </c>
      <c r="G58" s="1">
        <v>7553.5009399999999</v>
      </c>
      <c r="H58" s="16">
        <f t="shared" si="2"/>
        <v>-1446.4990600000001</v>
      </c>
      <c r="I58" s="15">
        <f t="shared" si="3"/>
        <v>13000</v>
      </c>
      <c r="J58" s="1">
        <f t="shared" si="4"/>
        <v>10749.76604</v>
      </c>
      <c r="K58" s="17">
        <f t="shared" si="5"/>
        <v>-2250.23396</v>
      </c>
      <c r="L58" s="9">
        <v>14000</v>
      </c>
      <c r="M58" s="11">
        <f t="shared" si="6"/>
        <v>6448.9677419354839</v>
      </c>
      <c r="N58" s="15">
        <v>7000</v>
      </c>
      <c r="O58" s="1">
        <v>8533.4089199999999</v>
      </c>
      <c r="P58" s="11">
        <f t="shared" si="7"/>
        <v>1533.4089199999999</v>
      </c>
      <c r="Q58" s="15">
        <v>4000</v>
      </c>
      <c r="R58" s="1">
        <v>3271.5151199999996</v>
      </c>
      <c r="S58" s="22">
        <f t="shared" si="8"/>
        <v>-728.48488000000043</v>
      </c>
      <c r="T58" s="37">
        <f t="shared" si="9"/>
        <v>11000</v>
      </c>
      <c r="U58" s="2">
        <f t="shared" si="17"/>
        <v>11804.92404</v>
      </c>
      <c r="V58" s="20">
        <f t="shared" si="18"/>
        <v>804.92403999999942</v>
      </c>
      <c r="W58" s="21">
        <v>17000</v>
      </c>
      <c r="X58" s="11">
        <f t="shared" si="19"/>
        <v>9853.3214285714294</v>
      </c>
      <c r="Y58" s="69">
        <f t="shared" si="11"/>
        <v>24000</v>
      </c>
      <c r="Z58" s="1">
        <f t="shared" si="12"/>
        <v>22554.69008</v>
      </c>
      <c r="AA58" s="1">
        <f t="shared" si="13"/>
        <v>-1445.3099200000006</v>
      </c>
      <c r="AB58" s="70">
        <f t="shared" si="14"/>
        <v>31000</v>
      </c>
      <c r="AC58" s="1">
        <f t="shared" si="15"/>
        <v>16302.289170506912</v>
      </c>
      <c r="AD58" s="68">
        <f t="shared" si="16"/>
        <v>1.2916666666666667</v>
      </c>
    </row>
    <row r="59" spans="2:30" x14ac:dyDescent="0.35">
      <c r="B59" s="7">
        <v>46076</v>
      </c>
      <c r="C59" s="10">
        <v>4000</v>
      </c>
      <c r="D59" s="1">
        <v>3141.7574999999997</v>
      </c>
      <c r="E59" s="11">
        <f t="shared" si="1"/>
        <v>-858.24250000000029</v>
      </c>
      <c r="F59" s="15">
        <v>9000</v>
      </c>
      <c r="G59" s="1">
        <v>9440.8946600000017</v>
      </c>
      <c r="H59" s="16">
        <f t="shared" si="2"/>
        <v>440.89466000000175</v>
      </c>
      <c r="I59" s="15">
        <f t="shared" si="3"/>
        <v>13000</v>
      </c>
      <c r="J59" s="1">
        <f t="shared" si="4"/>
        <v>12582.652160000001</v>
      </c>
      <c r="K59" s="17">
        <f t="shared" si="5"/>
        <v>-417.34783999999854</v>
      </c>
      <c r="L59" s="9">
        <v>14000</v>
      </c>
      <c r="M59" s="11">
        <f t="shared" si="6"/>
        <v>6448.9677419354839</v>
      </c>
      <c r="N59" s="15">
        <v>7000</v>
      </c>
      <c r="O59" s="1">
        <v>7831.2924800000001</v>
      </c>
      <c r="P59" s="11">
        <f t="shared" si="7"/>
        <v>831.29248000000007</v>
      </c>
      <c r="Q59" s="15">
        <v>4000</v>
      </c>
      <c r="R59" s="1">
        <v>3165.5531700000001</v>
      </c>
      <c r="S59" s="22">
        <f t="shared" si="8"/>
        <v>-834.44682999999986</v>
      </c>
      <c r="T59" s="37">
        <f t="shared" si="9"/>
        <v>11000</v>
      </c>
      <c r="U59" s="2">
        <f t="shared" si="17"/>
        <v>10996.845649999999</v>
      </c>
      <c r="V59" s="20">
        <f t="shared" si="18"/>
        <v>-3.1543499999997948</v>
      </c>
      <c r="W59" s="21">
        <v>17000</v>
      </c>
      <c r="X59" s="11">
        <f t="shared" si="19"/>
        <v>9853.3214285714294</v>
      </c>
      <c r="Y59" s="69">
        <f t="shared" si="11"/>
        <v>24000</v>
      </c>
      <c r="Z59" s="1">
        <f t="shared" si="12"/>
        <v>23579.497810000001</v>
      </c>
      <c r="AA59" s="1">
        <f t="shared" si="13"/>
        <v>-420.50218999999834</v>
      </c>
      <c r="AB59" s="70">
        <f t="shared" si="14"/>
        <v>31000</v>
      </c>
      <c r="AC59" s="1">
        <f t="shared" si="15"/>
        <v>16302.289170506912</v>
      </c>
      <c r="AD59" s="68">
        <f t="shared" si="16"/>
        <v>1.2916666666666667</v>
      </c>
    </row>
    <row r="60" spans="2:30" x14ac:dyDescent="0.35">
      <c r="B60" s="7">
        <v>46077</v>
      </c>
      <c r="C60" s="10">
        <v>4000</v>
      </c>
      <c r="D60" s="1">
        <v>3134.1869999999999</v>
      </c>
      <c r="E60" s="11">
        <f t="shared" si="1"/>
        <v>-865.8130000000001</v>
      </c>
      <c r="F60" s="15">
        <v>9000</v>
      </c>
      <c r="G60" s="1">
        <v>9601.1929</v>
      </c>
      <c r="H60" s="16">
        <f t="shared" si="2"/>
        <v>601.19290000000001</v>
      </c>
      <c r="I60" s="15">
        <f t="shared" si="3"/>
        <v>13000</v>
      </c>
      <c r="J60" s="1">
        <f t="shared" si="4"/>
        <v>12735.3799</v>
      </c>
      <c r="K60" s="17">
        <f t="shared" si="5"/>
        <v>-264.62010000000009</v>
      </c>
      <c r="L60" s="9">
        <v>14000</v>
      </c>
      <c r="M60" s="11">
        <f t="shared" si="6"/>
        <v>6448.9677419354839</v>
      </c>
      <c r="N60" s="15">
        <v>7000</v>
      </c>
      <c r="O60" s="1">
        <v>8126.2624800000012</v>
      </c>
      <c r="P60" s="11">
        <f t="shared" si="7"/>
        <v>1126.2624800000012</v>
      </c>
      <c r="Q60" s="15">
        <v>4000</v>
      </c>
      <c r="R60" s="1">
        <v>3037.4731199999997</v>
      </c>
      <c r="S60" s="22">
        <f t="shared" si="8"/>
        <v>-962.52688000000035</v>
      </c>
      <c r="T60" s="37">
        <f t="shared" si="9"/>
        <v>11000</v>
      </c>
      <c r="U60" s="2">
        <f t="shared" si="17"/>
        <v>11163.7356</v>
      </c>
      <c r="V60" s="20">
        <f t="shared" si="18"/>
        <v>163.73560000000089</v>
      </c>
      <c r="W60" s="21">
        <v>17000</v>
      </c>
      <c r="X60" s="11">
        <f t="shared" si="19"/>
        <v>9853.3214285714294</v>
      </c>
      <c r="Y60" s="69">
        <f t="shared" si="11"/>
        <v>24000</v>
      </c>
      <c r="Z60" s="1">
        <f t="shared" si="12"/>
        <v>23899.1155</v>
      </c>
      <c r="AA60" s="1">
        <f t="shared" si="13"/>
        <v>-100.88449999999921</v>
      </c>
      <c r="AB60" s="70">
        <f t="shared" si="14"/>
        <v>31000</v>
      </c>
      <c r="AC60" s="1">
        <f t="shared" si="15"/>
        <v>16302.289170506912</v>
      </c>
      <c r="AD60" s="68">
        <f t="shared" si="16"/>
        <v>1.2916666666666667</v>
      </c>
    </row>
    <row r="61" spans="2:30" x14ac:dyDescent="0.35">
      <c r="B61" s="7">
        <v>46078</v>
      </c>
      <c r="C61" s="10">
        <v>4000</v>
      </c>
      <c r="D61" s="1">
        <v>3010.0520999999999</v>
      </c>
      <c r="E61" s="11">
        <f t="shared" si="1"/>
        <v>-989.94790000000012</v>
      </c>
      <c r="F61" s="15">
        <v>9000</v>
      </c>
      <c r="G61" s="1">
        <v>9605.7645900000007</v>
      </c>
      <c r="H61" s="16">
        <f t="shared" si="2"/>
        <v>605.76459000000068</v>
      </c>
      <c r="I61" s="15">
        <f t="shared" si="3"/>
        <v>13000</v>
      </c>
      <c r="J61" s="1">
        <f t="shared" si="4"/>
        <v>12615.81669</v>
      </c>
      <c r="K61" s="17">
        <f t="shared" si="5"/>
        <v>-384.18330999999944</v>
      </c>
      <c r="L61" s="9">
        <v>14000</v>
      </c>
      <c r="M61" s="11">
        <f t="shared" si="6"/>
        <v>6448.9677419354839</v>
      </c>
      <c r="N61" s="15">
        <v>7000</v>
      </c>
      <c r="O61" s="1">
        <v>7910.2549900000013</v>
      </c>
      <c r="P61" s="11">
        <f t="shared" si="7"/>
        <v>910.25499000000127</v>
      </c>
      <c r="Q61" s="15">
        <v>4000</v>
      </c>
      <c r="R61" s="1">
        <v>3003.33</v>
      </c>
      <c r="S61" s="22">
        <f t="shared" si="8"/>
        <v>-996.67000000000007</v>
      </c>
      <c r="T61" s="37">
        <f t="shared" si="9"/>
        <v>11000</v>
      </c>
      <c r="U61" s="2">
        <f t="shared" si="17"/>
        <v>10913.584990000001</v>
      </c>
      <c r="V61" s="20">
        <f t="shared" si="18"/>
        <v>-86.415009999998802</v>
      </c>
      <c r="W61" s="21">
        <v>17000</v>
      </c>
      <c r="X61" s="11">
        <f t="shared" si="19"/>
        <v>9853.3214285714294</v>
      </c>
      <c r="Y61" s="69">
        <f t="shared" si="11"/>
        <v>24000</v>
      </c>
      <c r="Z61" s="1">
        <f t="shared" si="12"/>
        <v>23529.401680000003</v>
      </c>
      <c r="AA61" s="1">
        <f t="shared" si="13"/>
        <v>-470.59831999999824</v>
      </c>
      <c r="AB61" s="70">
        <f t="shared" si="14"/>
        <v>31000</v>
      </c>
      <c r="AC61" s="1">
        <f t="shared" si="15"/>
        <v>16302.289170506912</v>
      </c>
      <c r="AD61" s="68">
        <f t="shared" si="16"/>
        <v>1.2916666666666667</v>
      </c>
    </row>
    <row r="62" spans="2:30" x14ac:dyDescent="0.35">
      <c r="B62" s="7">
        <v>46079</v>
      </c>
      <c r="C62" s="10">
        <v>4000</v>
      </c>
      <c r="D62" s="1">
        <v>3388.6841999999997</v>
      </c>
      <c r="E62" s="11">
        <f t="shared" si="1"/>
        <v>-611.31580000000031</v>
      </c>
      <c r="F62" s="15">
        <v>9000</v>
      </c>
      <c r="G62" s="1">
        <v>6428.2383000000009</v>
      </c>
      <c r="H62" s="16">
        <f t="shared" si="2"/>
        <v>-2571.7616999999991</v>
      </c>
      <c r="I62" s="15">
        <f t="shared" si="3"/>
        <v>13000</v>
      </c>
      <c r="J62" s="1">
        <f t="shared" si="4"/>
        <v>9816.9225000000006</v>
      </c>
      <c r="K62" s="17">
        <f t="shared" si="5"/>
        <v>-3183.0774999999994</v>
      </c>
      <c r="L62" s="9">
        <v>14000</v>
      </c>
      <c r="M62" s="11">
        <f t="shared" si="6"/>
        <v>6448.9677419354839</v>
      </c>
      <c r="N62" s="15">
        <v>7000</v>
      </c>
      <c r="O62" s="1">
        <v>7961.3913799999991</v>
      </c>
      <c r="P62" s="11">
        <f t="shared" si="7"/>
        <v>961.39137999999912</v>
      </c>
      <c r="Q62" s="15">
        <v>4000</v>
      </c>
      <c r="R62" s="1">
        <v>2916.5926800000002</v>
      </c>
      <c r="S62" s="22">
        <f t="shared" si="8"/>
        <v>-1083.4073199999998</v>
      </c>
      <c r="T62" s="37">
        <f t="shared" si="9"/>
        <v>11000</v>
      </c>
      <c r="U62" s="2">
        <f t="shared" si="17"/>
        <v>10877.984059999999</v>
      </c>
      <c r="V62" s="20">
        <f t="shared" si="18"/>
        <v>-122.01594000000068</v>
      </c>
      <c r="W62" s="21">
        <v>17000</v>
      </c>
      <c r="X62" s="11">
        <f t="shared" si="19"/>
        <v>9853.3214285714294</v>
      </c>
      <c r="Y62" s="69">
        <f t="shared" si="11"/>
        <v>24000</v>
      </c>
      <c r="Z62" s="1">
        <f t="shared" si="12"/>
        <v>20694.906559999999</v>
      </c>
      <c r="AA62" s="1">
        <f t="shared" si="13"/>
        <v>-3305.0934400000001</v>
      </c>
      <c r="AB62" s="70">
        <f t="shared" si="14"/>
        <v>31000</v>
      </c>
      <c r="AC62" s="1">
        <f t="shared" si="15"/>
        <v>16302.289170506912</v>
      </c>
      <c r="AD62" s="68">
        <f t="shared" si="16"/>
        <v>1.2916666666666667</v>
      </c>
    </row>
    <row r="63" spans="2:30" x14ac:dyDescent="0.35">
      <c r="B63" s="7">
        <v>46080</v>
      </c>
      <c r="C63" s="10">
        <v>4000</v>
      </c>
      <c r="D63" s="1">
        <v>4043.806</v>
      </c>
      <c r="E63" s="11">
        <f t="shared" si="1"/>
        <v>43.80600000000004</v>
      </c>
      <c r="F63" s="15">
        <v>9000</v>
      </c>
      <c r="G63" s="1">
        <v>10543.388480000001</v>
      </c>
      <c r="H63" s="16">
        <f t="shared" si="2"/>
        <v>1543.3884800000014</v>
      </c>
      <c r="I63" s="15">
        <f t="shared" si="3"/>
        <v>13000</v>
      </c>
      <c r="J63" s="1">
        <f t="shared" si="4"/>
        <v>14587.194480000002</v>
      </c>
      <c r="K63" s="17">
        <f t="shared" si="5"/>
        <v>1587.1944800000015</v>
      </c>
      <c r="L63" s="9">
        <v>14000</v>
      </c>
      <c r="M63" s="11">
        <f t="shared" si="6"/>
        <v>6448.9677419354839</v>
      </c>
      <c r="N63" s="15">
        <v>7000</v>
      </c>
      <c r="O63" s="1">
        <v>8218.8293999999987</v>
      </c>
      <c r="P63" s="11">
        <f t="shared" si="7"/>
        <v>1218.8293999999987</v>
      </c>
      <c r="Q63" s="15">
        <v>4000</v>
      </c>
      <c r="R63" s="1">
        <v>3134.2860900000001</v>
      </c>
      <c r="S63" s="22">
        <f t="shared" si="8"/>
        <v>-865.71390999999994</v>
      </c>
      <c r="T63" s="37">
        <f t="shared" si="9"/>
        <v>11000</v>
      </c>
      <c r="U63" s="2">
        <f t="shared" si="17"/>
        <v>11353.115489999998</v>
      </c>
      <c r="V63" s="20">
        <f t="shared" si="18"/>
        <v>353.11548999999877</v>
      </c>
      <c r="W63" s="21">
        <v>17000</v>
      </c>
      <c r="X63" s="11">
        <f t="shared" si="19"/>
        <v>9853.3214285714294</v>
      </c>
      <c r="Y63" s="69">
        <f t="shared" si="11"/>
        <v>24000</v>
      </c>
      <c r="Z63" s="1">
        <f t="shared" si="12"/>
        <v>25940.309970000002</v>
      </c>
      <c r="AA63" s="1">
        <f t="shared" si="13"/>
        <v>1940.3099700000002</v>
      </c>
      <c r="AB63" s="70">
        <f t="shared" si="14"/>
        <v>31000</v>
      </c>
      <c r="AC63" s="1">
        <f t="shared" si="15"/>
        <v>16302.289170506912</v>
      </c>
      <c r="AD63" s="68">
        <f t="shared" si="16"/>
        <v>1.2916666666666667</v>
      </c>
    </row>
    <row r="64" spans="2:30" x14ac:dyDescent="0.35">
      <c r="B64" s="7">
        <v>46081</v>
      </c>
      <c r="C64" s="10">
        <v>4000</v>
      </c>
      <c r="D64" s="1">
        <v>4005.2350000000001</v>
      </c>
      <c r="E64" s="11">
        <f t="shared" si="1"/>
        <v>5.2350000000001273</v>
      </c>
      <c r="F64" s="15">
        <v>9000</v>
      </c>
      <c r="G64" s="1">
        <v>7222.2649500000007</v>
      </c>
      <c r="H64" s="16">
        <f t="shared" si="2"/>
        <v>-1777.7350499999993</v>
      </c>
      <c r="I64" s="15">
        <f t="shared" si="3"/>
        <v>13000</v>
      </c>
      <c r="J64" s="1">
        <f t="shared" si="4"/>
        <v>11227.499950000001</v>
      </c>
      <c r="K64" s="17">
        <f t="shared" si="5"/>
        <v>-1772.5000499999992</v>
      </c>
      <c r="L64" s="9">
        <v>14000</v>
      </c>
      <c r="M64" s="11">
        <f t="shared" si="6"/>
        <v>6448.9677419354839</v>
      </c>
      <c r="N64" s="15">
        <v>7000</v>
      </c>
      <c r="O64" s="1">
        <v>6555.5626000000002</v>
      </c>
      <c r="P64" s="11">
        <f t="shared" si="7"/>
        <v>-444.4373999999998</v>
      </c>
      <c r="Q64" s="15">
        <v>4000</v>
      </c>
      <c r="R64" s="1">
        <v>3345.9195</v>
      </c>
      <c r="S64" s="22">
        <f t="shared" si="8"/>
        <v>-654.08050000000003</v>
      </c>
      <c r="T64" s="37">
        <f t="shared" si="9"/>
        <v>11000</v>
      </c>
      <c r="U64" s="2">
        <f t="shared" si="17"/>
        <v>9901.4821000000011</v>
      </c>
      <c r="V64" s="20">
        <f t="shared" si="18"/>
        <v>-1098.5178999999998</v>
      </c>
      <c r="W64" s="21">
        <v>17000</v>
      </c>
      <c r="X64" s="11">
        <f t="shared" si="19"/>
        <v>9853.3214285714294</v>
      </c>
      <c r="Y64" s="69">
        <f t="shared" si="11"/>
        <v>24000</v>
      </c>
      <c r="Z64" s="1">
        <f t="shared" si="12"/>
        <v>21128.982050000002</v>
      </c>
      <c r="AA64" s="1">
        <f t="shared" si="13"/>
        <v>-2871.017949999999</v>
      </c>
      <c r="AB64" s="70">
        <f t="shared" si="14"/>
        <v>31000</v>
      </c>
      <c r="AC64" s="1">
        <f t="shared" si="15"/>
        <v>16302.289170506912</v>
      </c>
      <c r="AD64" s="68">
        <f t="shared" si="16"/>
        <v>1.2916666666666667</v>
      </c>
    </row>
    <row r="65" spans="2:30" x14ac:dyDescent="0.35">
      <c r="B65" s="7">
        <v>46082</v>
      </c>
      <c r="C65" s="10">
        <v>5000</v>
      </c>
      <c r="D65" s="1">
        <v>4016.415</v>
      </c>
      <c r="E65" s="11">
        <f t="shared" si="1"/>
        <v>-983.58500000000004</v>
      </c>
      <c r="F65" s="15">
        <v>12000</v>
      </c>
      <c r="G65" s="1">
        <v>8068.5488100000002</v>
      </c>
      <c r="H65" s="16">
        <f t="shared" si="2"/>
        <v>-3931.4511899999998</v>
      </c>
      <c r="I65" s="15">
        <f t="shared" si="3"/>
        <v>17000</v>
      </c>
      <c r="J65" s="1">
        <f t="shared" si="4"/>
        <v>12084.963810000001</v>
      </c>
      <c r="K65" s="17">
        <f t="shared" si="5"/>
        <v>-4915.0361899999998</v>
      </c>
      <c r="L65" s="9">
        <v>17500</v>
      </c>
      <c r="M65" s="11">
        <f>271365/31</f>
        <v>8753.7096774193542</v>
      </c>
      <c r="N65" s="15">
        <v>10000</v>
      </c>
      <c r="O65" s="1">
        <v>7978.6268400000008</v>
      </c>
      <c r="P65" s="11">
        <f t="shared" si="7"/>
        <v>-2021.3731599999992</v>
      </c>
      <c r="Q65" s="15">
        <v>6000</v>
      </c>
      <c r="R65" s="1">
        <v>3375.1244999999999</v>
      </c>
      <c r="S65" s="22">
        <f t="shared" si="8"/>
        <v>-2624.8755000000001</v>
      </c>
      <c r="T65" s="37">
        <f t="shared" si="9"/>
        <v>16000</v>
      </c>
      <c r="U65" s="2">
        <f t="shared" si="17"/>
        <v>11353.751340000001</v>
      </c>
      <c r="V65" s="20">
        <f t="shared" si="18"/>
        <v>-4646.2486599999993</v>
      </c>
      <c r="W65" s="21">
        <v>17000</v>
      </c>
      <c r="X65" s="11">
        <f>367382/31</f>
        <v>11851.032258064517</v>
      </c>
      <c r="Y65" s="69">
        <f t="shared" si="11"/>
        <v>33000</v>
      </c>
      <c r="Z65" s="1">
        <f t="shared" si="12"/>
        <v>23438.715150000004</v>
      </c>
      <c r="AA65" s="1">
        <f t="shared" si="13"/>
        <v>-9561.28485</v>
      </c>
      <c r="AB65" s="70">
        <f t="shared" si="14"/>
        <v>34500</v>
      </c>
      <c r="AC65" s="1">
        <f t="shared" si="15"/>
        <v>20604.741935483871</v>
      </c>
      <c r="AD65" s="68">
        <f t="shared" si="16"/>
        <v>1.0454545454545454</v>
      </c>
    </row>
    <row r="66" spans="2:30" x14ac:dyDescent="0.35">
      <c r="B66" s="7">
        <v>46083</v>
      </c>
      <c r="C66" s="10">
        <v>5000</v>
      </c>
      <c r="D66" s="1">
        <v>3609.9212000000002</v>
      </c>
      <c r="E66" s="11">
        <f t="shared" si="1"/>
        <v>-1390.0787999999998</v>
      </c>
      <c r="F66" s="15">
        <v>12000</v>
      </c>
      <c r="G66" s="1">
        <v>9689.8047599999991</v>
      </c>
      <c r="H66" s="16">
        <f t="shared" si="2"/>
        <v>-2310.1952400000009</v>
      </c>
      <c r="I66" s="15">
        <f t="shared" si="3"/>
        <v>17000</v>
      </c>
      <c r="J66" s="1">
        <f t="shared" si="4"/>
        <v>13299.72596</v>
      </c>
      <c r="K66" s="17">
        <f t="shared" si="5"/>
        <v>-3700.2740400000007</v>
      </c>
      <c r="L66" s="9">
        <v>17500</v>
      </c>
      <c r="M66" s="11">
        <f t="shared" ref="M66:M95" si="20">271365/31</f>
        <v>8753.7096774193542</v>
      </c>
      <c r="N66" s="15">
        <v>10000</v>
      </c>
      <c r="O66" s="1">
        <v>7886.5697999999993</v>
      </c>
      <c r="P66" s="11">
        <f t="shared" si="7"/>
        <v>-2113.4302000000007</v>
      </c>
      <c r="Q66" s="15">
        <v>6000</v>
      </c>
      <c r="R66" s="1">
        <v>3342.4148999999998</v>
      </c>
      <c r="S66" s="22">
        <f t="shared" si="8"/>
        <v>-2657.5851000000002</v>
      </c>
      <c r="T66" s="37">
        <f t="shared" si="9"/>
        <v>16000</v>
      </c>
      <c r="U66" s="2">
        <f t="shared" si="17"/>
        <v>11228.984699999999</v>
      </c>
      <c r="V66" s="20">
        <f t="shared" si="18"/>
        <v>-4771.0153000000009</v>
      </c>
      <c r="W66" s="21">
        <v>17000</v>
      </c>
      <c r="X66" s="11">
        <f t="shared" ref="X66:X95" si="21">367382/31</f>
        <v>11851.032258064517</v>
      </c>
      <c r="Y66" s="69">
        <f t="shared" si="11"/>
        <v>33000</v>
      </c>
      <c r="Z66" s="1">
        <f t="shared" si="12"/>
        <v>24528.710659999997</v>
      </c>
      <c r="AA66" s="1">
        <f t="shared" si="13"/>
        <v>-8471.2893400000012</v>
      </c>
      <c r="AB66" s="70">
        <f t="shared" si="14"/>
        <v>34500</v>
      </c>
      <c r="AC66" s="1">
        <f t="shared" si="15"/>
        <v>20604.741935483871</v>
      </c>
      <c r="AD66" s="68">
        <f t="shared" si="16"/>
        <v>1.0454545454545454</v>
      </c>
    </row>
    <row r="67" spans="2:30" x14ac:dyDescent="0.35">
      <c r="B67" s="7">
        <v>46084</v>
      </c>
      <c r="C67" s="10">
        <v>5000</v>
      </c>
      <c r="D67" s="1">
        <v>3574.6545000000001</v>
      </c>
      <c r="E67" s="11">
        <f t="shared" si="1"/>
        <v>-1425.3454999999999</v>
      </c>
      <c r="F67" s="15">
        <v>12000</v>
      </c>
      <c r="G67" s="1">
        <v>10378.851200000001</v>
      </c>
      <c r="H67" s="16">
        <f t="shared" si="2"/>
        <v>-1621.148799999999</v>
      </c>
      <c r="I67" s="15">
        <f t="shared" si="3"/>
        <v>17000</v>
      </c>
      <c r="J67" s="1">
        <f t="shared" si="4"/>
        <v>13953.505700000002</v>
      </c>
      <c r="K67" s="17">
        <f t="shared" si="5"/>
        <v>-3046.4942999999989</v>
      </c>
      <c r="L67" s="9">
        <v>17500</v>
      </c>
      <c r="M67" s="11">
        <f t="shared" si="20"/>
        <v>8753.7096774193542</v>
      </c>
      <c r="N67" s="15">
        <v>10000</v>
      </c>
      <c r="O67" s="1">
        <v>7832.3420000000006</v>
      </c>
      <c r="P67" s="11">
        <f t="shared" si="7"/>
        <v>-2167.6579999999994</v>
      </c>
      <c r="Q67" s="15">
        <v>6000</v>
      </c>
      <c r="R67" s="1">
        <v>3339.4294999999997</v>
      </c>
      <c r="S67" s="22">
        <f t="shared" si="8"/>
        <v>-2660.5705000000003</v>
      </c>
      <c r="T67" s="37">
        <f t="shared" si="9"/>
        <v>16000</v>
      </c>
      <c r="U67" s="2">
        <f t="shared" si="17"/>
        <v>11171.771500000001</v>
      </c>
      <c r="V67" s="20">
        <f t="shared" si="18"/>
        <v>-4828.2284999999993</v>
      </c>
      <c r="W67" s="21">
        <v>17000</v>
      </c>
      <c r="X67" s="11">
        <f t="shared" si="21"/>
        <v>11851.032258064517</v>
      </c>
      <c r="Y67" s="69">
        <f t="shared" si="11"/>
        <v>33000</v>
      </c>
      <c r="Z67" s="1">
        <f t="shared" si="12"/>
        <v>25125.277200000004</v>
      </c>
      <c r="AA67" s="1">
        <f t="shared" si="13"/>
        <v>-7874.7227999999977</v>
      </c>
      <c r="AB67" s="70">
        <f t="shared" si="14"/>
        <v>34500</v>
      </c>
      <c r="AC67" s="1">
        <f t="shared" si="15"/>
        <v>20604.741935483871</v>
      </c>
      <c r="AD67" s="68">
        <f t="shared" si="16"/>
        <v>1.0454545454545454</v>
      </c>
    </row>
    <row r="68" spans="2:30" x14ac:dyDescent="0.35">
      <c r="B68" s="7">
        <v>46085</v>
      </c>
      <c r="C68" s="10">
        <v>5000</v>
      </c>
      <c r="D68" s="1">
        <v>3730.8083999999999</v>
      </c>
      <c r="E68" s="11">
        <f t="shared" si="1"/>
        <v>-1269.1916000000001</v>
      </c>
      <c r="F68" s="15">
        <v>12000</v>
      </c>
      <c r="G68" s="1">
        <v>10517.35368</v>
      </c>
      <c r="H68" s="16">
        <f t="shared" si="2"/>
        <v>-1482.6463199999998</v>
      </c>
      <c r="I68" s="15">
        <f t="shared" si="3"/>
        <v>17000</v>
      </c>
      <c r="J68" s="1">
        <f t="shared" si="4"/>
        <v>14248.16208</v>
      </c>
      <c r="K68" s="17">
        <f t="shared" si="5"/>
        <v>-2751.8379199999999</v>
      </c>
      <c r="L68" s="9">
        <v>17500</v>
      </c>
      <c r="M68" s="11">
        <f t="shared" si="20"/>
        <v>8753.7096774193542</v>
      </c>
      <c r="N68" s="15">
        <v>10000</v>
      </c>
      <c r="O68" s="1">
        <v>8024.3281999999999</v>
      </c>
      <c r="P68" s="11">
        <f t="shared" si="7"/>
        <v>-1975.6718000000001</v>
      </c>
      <c r="Q68" s="15">
        <v>6000</v>
      </c>
      <c r="R68" s="1">
        <v>3314.3780999999999</v>
      </c>
      <c r="S68" s="22">
        <f t="shared" si="8"/>
        <v>-2685.6219000000001</v>
      </c>
      <c r="T68" s="37">
        <f t="shared" si="9"/>
        <v>16000</v>
      </c>
      <c r="U68" s="2">
        <f t="shared" si="17"/>
        <v>11338.7063</v>
      </c>
      <c r="V68" s="20">
        <f t="shared" si="18"/>
        <v>-4661.2937000000002</v>
      </c>
      <c r="W68" s="21">
        <v>17000</v>
      </c>
      <c r="X68" s="11">
        <f t="shared" si="21"/>
        <v>11851.032258064517</v>
      </c>
      <c r="Y68" s="69">
        <f t="shared" si="11"/>
        <v>33000</v>
      </c>
      <c r="Z68" s="1">
        <f t="shared" si="12"/>
        <v>25586.86838</v>
      </c>
      <c r="AA68" s="1">
        <f t="shared" si="13"/>
        <v>-7413.1316200000001</v>
      </c>
      <c r="AB68" s="70">
        <f t="shared" si="14"/>
        <v>34500</v>
      </c>
      <c r="AC68" s="1">
        <f t="shared" si="15"/>
        <v>20604.741935483871</v>
      </c>
      <c r="AD68" s="68">
        <f t="shared" si="16"/>
        <v>1.0454545454545454</v>
      </c>
    </row>
    <row r="69" spans="2:30" x14ac:dyDescent="0.35">
      <c r="B69" s="7">
        <v>46086</v>
      </c>
      <c r="C69" s="10">
        <v>5000</v>
      </c>
      <c r="D69" s="1">
        <v>3703.3226</v>
      </c>
      <c r="E69" s="11">
        <f t="shared" si="1"/>
        <v>-1296.6774</v>
      </c>
      <c r="F69" s="15">
        <v>12000</v>
      </c>
      <c r="G69" s="1">
        <v>10502.878199999999</v>
      </c>
      <c r="H69" s="16">
        <f t="shared" si="2"/>
        <v>-1497.1218000000008</v>
      </c>
      <c r="I69" s="15">
        <f t="shared" si="3"/>
        <v>17000</v>
      </c>
      <c r="J69" s="1">
        <f t="shared" si="4"/>
        <v>14206.200799999999</v>
      </c>
      <c r="K69" s="17">
        <f t="shared" si="5"/>
        <v>-2793.7992000000008</v>
      </c>
      <c r="L69" s="9">
        <v>17500</v>
      </c>
      <c r="M69" s="11">
        <f t="shared" si="20"/>
        <v>8753.7096774193542</v>
      </c>
      <c r="N69" s="15">
        <v>10000</v>
      </c>
      <c r="O69" s="1">
        <v>7810.3778700000003</v>
      </c>
      <c r="P69" s="11">
        <f t="shared" si="7"/>
        <v>-2189.6221299999997</v>
      </c>
      <c r="Q69" s="15">
        <v>6000</v>
      </c>
      <c r="R69" s="1">
        <v>4951.7936</v>
      </c>
      <c r="S69" s="22">
        <f t="shared" si="8"/>
        <v>-1048.2064</v>
      </c>
      <c r="T69" s="37">
        <f t="shared" si="9"/>
        <v>16000</v>
      </c>
      <c r="U69" s="2">
        <f t="shared" si="17"/>
        <v>12762.171470000001</v>
      </c>
      <c r="V69" s="20">
        <f t="shared" si="18"/>
        <v>-3237.8285299999998</v>
      </c>
      <c r="W69" s="21">
        <v>17000</v>
      </c>
      <c r="X69" s="11">
        <f t="shared" si="21"/>
        <v>11851.032258064517</v>
      </c>
      <c r="Y69" s="69">
        <f t="shared" si="11"/>
        <v>33000</v>
      </c>
      <c r="Z69" s="1">
        <f t="shared" si="12"/>
        <v>26968.37227</v>
      </c>
      <c r="AA69" s="1">
        <f t="shared" si="13"/>
        <v>-6031.6277300000002</v>
      </c>
      <c r="AB69" s="70">
        <f t="shared" si="14"/>
        <v>34500</v>
      </c>
      <c r="AC69" s="1">
        <f t="shared" si="15"/>
        <v>20604.741935483871</v>
      </c>
      <c r="AD69" s="68">
        <f t="shared" si="16"/>
        <v>1.0454545454545454</v>
      </c>
    </row>
    <row r="70" spans="2:30" x14ac:dyDescent="0.35">
      <c r="B70" s="7">
        <v>46087</v>
      </c>
      <c r="C70" s="10">
        <v>5000</v>
      </c>
      <c r="D70" s="1">
        <v>3712.1388000000002</v>
      </c>
      <c r="E70" s="11">
        <f t="shared" si="1"/>
        <v>-1287.8611999999998</v>
      </c>
      <c r="F70" s="15">
        <v>12000</v>
      </c>
      <c r="G70" s="1">
        <v>10520.81964</v>
      </c>
      <c r="H70" s="16">
        <f t="shared" si="2"/>
        <v>-1479.1803600000003</v>
      </c>
      <c r="I70" s="15">
        <f t="shared" si="3"/>
        <v>17000</v>
      </c>
      <c r="J70" s="1">
        <f t="shared" si="4"/>
        <v>14232.95844</v>
      </c>
      <c r="K70" s="17">
        <f t="shared" si="5"/>
        <v>-2767.0415600000001</v>
      </c>
      <c r="L70" s="9">
        <v>17500</v>
      </c>
      <c r="M70" s="11">
        <f t="shared" si="20"/>
        <v>8753.7096774193542</v>
      </c>
      <c r="N70" s="15">
        <v>10000</v>
      </c>
      <c r="O70" s="1">
        <v>7886.6100999999999</v>
      </c>
      <c r="P70" s="11">
        <f t="shared" si="7"/>
        <v>-2113.3899000000001</v>
      </c>
      <c r="Q70" s="15">
        <v>6000</v>
      </c>
      <c r="R70" s="1">
        <v>5608.4477999999999</v>
      </c>
      <c r="S70" s="22">
        <f t="shared" si="8"/>
        <v>-391.55220000000008</v>
      </c>
      <c r="T70" s="37">
        <f t="shared" si="9"/>
        <v>16000</v>
      </c>
      <c r="U70" s="2">
        <f t="shared" si="17"/>
        <v>13495.0579</v>
      </c>
      <c r="V70" s="20">
        <f t="shared" si="18"/>
        <v>-2504.9421000000002</v>
      </c>
      <c r="W70" s="21">
        <v>17000</v>
      </c>
      <c r="X70" s="11">
        <f t="shared" si="21"/>
        <v>11851.032258064517</v>
      </c>
      <c r="Y70" s="69">
        <f t="shared" si="11"/>
        <v>33000</v>
      </c>
      <c r="Z70" s="1">
        <f t="shared" si="12"/>
        <v>27728.016340000002</v>
      </c>
      <c r="AA70" s="1">
        <f t="shared" si="13"/>
        <v>-5271.9836599999999</v>
      </c>
      <c r="AB70" s="70">
        <f t="shared" si="14"/>
        <v>34500</v>
      </c>
      <c r="AC70" s="1">
        <f t="shared" si="15"/>
        <v>20604.741935483871</v>
      </c>
      <c r="AD70" s="68">
        <f t="shared" si="16"/>
        <v>1.0454545454545454</v>
      </c>
    </row>
    <row r="71" spans="2:30" x14ac:dyDescent="0.35">
      <c r="B71" s="7">
        <v>46088</v>
      </c>
      <c r="C71" s="10">
        <v>5000</v>
      </c>
      <c r="D71" s="1">
        <v>3374.8147999999997</v>
      </c>
      <c r="E71" s="11">
        <f t="shared" ref="E71:E130" si="22">D71-C71</f>
        <v>-1625.1852000000003</v>
      </c>
      <c r="F71" s="15">
        <v>12000</v>
      </c>
      <c r="G71" s="1">
        <v>10570.4984</v>
      </c>
      <c r="H71" s="16">
        <f t="shared" ref="H71:H130" si="23">G71-F71</f>
        <v>-1429.5015999999996</v>
      </c>
      <c r="I71" s="15">
        <f t="shared" ref="I71:I130" si="24">C71+F71</f>
        <v>17000</v>
      </c>
      <c r="J71" s="1">
        <f t="shared" ref="J71:J130" si="25">D71+G71</f>
        <v>13945.313200000001</v>
      </c>
      <c r="K71" s="17">
        <f t="shared" ref="K71:K130" si="26">E71+H71</f>
        <v>-3054.6867999999999</v>
      </c>
      <c r="L71" s="9">
        <v>17500</v>
      </c>
      <c r="M71" s="11">
        <f t="shared" si="20"/>
        <v>8753.7096774193542</v>
      </c>
      <c r="N71" s="15">
        <v>10000</v>
      </c>
      <c r="O71" s="1">
        <v>7820.7255000000005</v>
      </c>
      <c r="P71" s="11">
        <f t="shared" ref="P71:P130" si="27">O71-N71</f>
        <v>-2179.2744999999995</v>
      </c>
      <c r="Q71" s="15">
        <v>6000</v>
      </c>
      <c r="R71" s="1">
        <v>5238.1445000000003</v>
      </c>
      <c r="S71" s="22">
        <f t="shared" ref="S71:S130" si="28">R71-Q71</f>
        <v>-761.85549999999967</v>
      </c>
      <c r="T71" s="37">
        <f t="shared" ref="T71:T130" si="29">N71+Q71</f>
        <v>16000</v>
      </c>
      <c r="U71" s="2">
        <f t="shared" si="17"/>
        <v>13058.87</v>
      </c>
      <c r="V71" s="20">
        <f t="shared" si="18"/>
        <v>-2941.1299999999992</v>
      </c>
      <c r="W71" s="21">
        <v>17000</v>
      </c>
      <c r="X71" s="11">
        <f t="shared" si="21"/>
        <v>11851.032258064517</v>
      </c>
      <c r="Y71" s="69">
        <f t="shared" ref="Y71:Y130" si="30">I71+T71</f>
        <v>33000</v>
      </c>
      <c r="Z71" s="1">
        <f t="shared" ref="Z71:Z130" si="31">J71+U71</f>
        <v>27004.183199999999</v>
      </c>
      <c r="AA71" s="1">
        <f t="shared" ref="AA71:AA130" si="32">K71+V71</f>
        <v>-5995.8167999999987</v>
      </c>
      <c r="AB71" s="70">
        <f t="shared" ref="AB71:AB130" si="33">L71+W71</f>
        <v>34500</v>
      </c>
      <c r="AC71" s="1">
        <f t="shared" ref="AC71:AC130" si="34">M71+X71</f>
        <v>20604.741935483871</v>
      </c>
      <c r="AD71" s="68">
        <f t="shared" ref="AD71:AD131" si="35">AB71/Y71</f>
        <v>1.0454545454545454</v>
      </c>
    </row>
    <row r="72" spans="2:30" x14ac:dyDescent="0.35">
      <c r="B72" s="7">
        <v>46089</v>
      </c>
      <c r="C72" s="10">
        <v>5000</v>
      </c>
      <c r="D72" s="1">
        <v>2672.6469000000002</v>
      </c>
      <c r="E72" s="11">
        <f t="shared" si="22"/>
        <v>-2327.3530999999998</v>
      </c>
      <c r="F72" s="15">
        <v>12000</v>
      </c>
      <c r="G72" s="1">
        <v>10593.717540000001</v>
      </c>
      <c r="H72" s="16">
        <f t="shared" si="23"/>
        <v>-1406.2824599999985</v>
      </c>
      <c r="I72" s="15">
        <f t="shared" si="24"/>
        <v>17000</v>
      </c>
      <c r="J72" s="1">
        <f t="shared" si="25"/>
        <v>13266.364440000001</v>
      </c>
      <c r="K72" s="17">
        <f t="shared" si="26"/>
        <v>-3733.6355599999983</v>
      </c>
      <c r="L72" s="9">
        <v>17500</v>
      </c>
      <c r="M72" s="11">
        <f t="shared" si="20"/>
        <v>8753.7096774193542</v>
      </c>
      <c r="N72" s="15">
        <v>10000</v>
      </c>
      <c r="O72" s="1">
        <v>7729.3269499999988</v>
      </c>
      <c r="P72" s="11">
        <f t="shared" si="27"/>
        <v>-2270.6730500000012</v>
      </c>
      <c r="Q72" s="15">
        <v>6000</v>
      </c>
      <c r="R72" s="1">
        <v>4462.7224000000006</v>
      </c>
      <c r="S72" s="22">
        <f t="shared" si="28"/>
        <v>-1537.2775999999994</v>
      </c>
      <c r="T72" s="37">
        <f t="shared" si="29"/>
        <v>16000</v>
      </c>
      <c r="U72" s="2">
        <f t="shared" si="17"/>
        <v>12192.049349999999</v>
      </c>
      <c r="V72" s="20">
        <f t="shared" si="18"/>
        <v>-3807.9506500000007</v>
      </c>
      <c r="W72" s="21">
        <v>17000</v>
      </c>
      <c r="X72" s="11">
        <f t="shared" si="21"/>
        <v>11851.032258064517</v>
      </c>
      <c r="Y72" s="69">
        <f t="shared" si="30"/>
        <v>33000</v>
      </c>
      <c r="Z72" s="1">
        <f t="shared" si="31"/>
        <v>25458.413789999999</v>
      </c>
      <c r="AA72" s="1">
        <f t="shared" si="32"/>
        <v>-7541.5862099999995</v>
      </c>
      <c r="AB72" s="70">
        <f t="shared" si="33"/>
        <v>34500</v>
      </c>
      <c r="AC72" s="1">
        <f t="shared" si="34"/>
        <v>20604.741935483871</v>
      </c>
      <c r="AD72" s="68">
        <f t="shared" si="35"/>
        <v>1.0454545454545454</v>
      </c>
    </row>
    <row r="73" spans="2:30" x14ac:dyDescent="0.35">
      <c r="B73" s="7">
        <v>46090</v>
      </c>
      <c r="C73" s="10">
        <v>5000</v>
      </c>
      <c r="D73" s="1">
        <v>2612.61</v>
      </c>
      <c r="E73" s="11">
        <f t="shared" si="22"/>
        <v>-2387.39</v>
      </c>
      <c r="F73" s="15">
        <v>12000</v>
      </c>
      <c r="G73" s="1">
        <v>10361.08164</v>
      </c>
      <c r="H73" s="16">
        <f t="shared" si="23"/>
        <v>-1638.9183599999997</v>
      </c>
      <c r="I73" s="15">
        <f t="shared" si="24"/>
        <v>17000</v>
      </c>
      <c r="J73" s="1">
        <f t="shared" si="25"/>
        <v>12973.691640000001</v>
      </c>
      <c r="K73" s="17">
        <f t="shared" si="26"/>
        <v>-4026.3083599999995</v>
      </c>
      <c r="L73" s="9">
        <v>17500</v>
      </c>
      <c r="M73" s="11">
        <f t="shared" si="20"/>
        <v>8753.7096774193542</v>
      </c>
      <c r="N73" s="15">
        <v>10000</v>
      </c>
      <c r="O73" s="1">
        <v>7917.2200799999991</v>
      </c>
      <c r="P73" s="11">
        <f t="shared" si="27"/>
        <v>-2082.7799200000009</v>
      </c>
      <c r="Q73" s="15">
        <v>6000</v>
      </c>
      <c r="R73" s="1">
        <v>4260.5032800000008</v>
      </c>
      <c r="S73" s="22">
        <f t="shared" si="28"/>
        <v>-1739.4967199999992</v>
      </c>
      <c r="T73" s="37">
        <f t="shared" si="29"/>
        <v>16000</v>
      </c>
      <c r="U73" s="2">
        <f t="shared" si="17"/>
        <v>12177.72336</v>
      </c>
      <c r="V73" s="20">
        <f t="shared" si="18"/>
        <v>-3822.27664</v>
      </c>
      <c r="W73" s="21">
        <v>17000</v>
      </c>
      <c r="X73" s="11">
        <f t="shared" si="21"/>
        <v>11851.032258064517</v>
      </c>
      <c r="Y73" s="69">
        <f t="shared" si="30"/>
        <v>33000</v>
      </c>
      <c r="Z73" s="1">
        <f t="shared" si="31"/>
        <v>25151.415000000001</v>
      </c>
      <c r="AA73" s="1">
        <f t="shared" si="32"/>
        <v>-7848.5849999999991</v>
      </c>
      <c r="AB73" s="70">
        <f t="shared" si="33"/>
        <v>34500</v>
      </c>
      <c r="AC73" s="1">
        <f t="shared" si="34"/>
        <v>20604.741935483871</v>
      </c>
      <c r="AD73" s="68">
        <f t="shared" si="35"/>
        <v>1.0454545454545454</v>
      </c>
    </row>
    <row r="74" spans="2:30" x14ac:dyDescent="0.35">
      <c r="B74" s="7">
        <v>46091</v>
      </c>
      <c r="C74" s="10">
        <v>5000</v>
      </c>
      <c r="D74" s="1">
        <v>2589.5550000000003</v>
      </c>
      <c r="E74" s="11">
        <f t="shared" si="22"/>
        <v>-2410.4449999999997</v>
      </c>
      <c r="F74" s="15">
        <v>12000</v>
      </c>
      <c r="G74" s="1">
        <v>10378.250479999999</v>
      </c>
      <c r="H74" s="16">
        <f t="shared" si="23"/>
        <v>-1621.7495200000012</v>
      </c>
      <c r="I74" s="15">
        <f t="shared" si="24"/>
        <v>17000</v>
      </c>
      <c r="J74" s="1">
        <f t="shared" si="25"/>
        <v>12967.805479999999</v>
      </c>
      <c r="K74" s="17">
        <f t="shared" si="26"/>
        <v>-4032.1945200000009</v>
      </c>
      <c r="L74" s="9">
        <v>17500</v>
      </c>
      <c r="M74" s="11">
        <f t="shared" si="20"/>
        <v>8753.7096774193542</v>
      </c>
      <c r="N74" s="15">
        <v>10000</v>
      </c>
      <c r="O74" s="1">
        <v>7820.1791599999997</v>
      </c>
      <c r="P74" s="11">
        <f t="shared" si="27"/>
        <v>-2179.8208400000003</v>
      </c>
      <c r="Q74" s="15">
        <v>6000</v>
      </c>
      <c r="R74" s="1">
        <v>4262.6436600000006</v>
      </c>
      <c r="S74" s="22">
        <f t="shared" si="28"/>
        <v>-1737.3563399999994</v>
      </c>
      <c r="T74" s="37">
        <f t="shared" si="29"/>
        <v>16000</v>
      </c>
      <c r="U74" s="2">
        <f t="shared" si="17"/>
        <v>12082.822820000001</v>
      </c>
      <c r="V74" s="20">
        <f t="shared" si="18"/>
        <v>-3917.1771799999997</v>
      </c>
      <c r="W74" s="21">
        <v>17000</v>
      </c>
      <c r="X74" s="11">
        <f t="shared" si="21"/>
        <v>11851.032258064517</v>
      </c>
      <c r="Y74" s="69">
        <f t="shared" si="30"/>
        <v>33000</v>
      </c>
      <c r="Z74" s="1">
        <f t="shared" si="31"/>
        <v>25050.6283</v>
      </c>
      <c r="AA74" s="1">
        <f t="shared" si="32"/>
        <v>-7949.3717000000006</v>
      </c>
      <c r="AB74" s="70">
        <f t="shared" si="33"/>
        <v>34500</v>
      </c>
      <c r="AC74" s="1">
        <f t="shared" si="34"/>
        <v>20604.741935483871</v>
      </c>
      <c r="AD74" s="68">
        <f t="shared" si="35"/>
        <v>1.0454545454545454</v>
      </c>
    </row>
    <row r="75" spans="2:30" x14ac:dyDescent="0.35">
      <c r="B75" s="7">
        <v>46092</v>
      </c>
      <c r="C75" s="10">
        <v>5000</v>
      </c>
      <c r="D75" s="1">
        <v>2577.8100000000004</v>
      </c>
      <c r="E75" s="11">
        <f t="shared" si="22"/>
        <v>-2422.1899999999996</v>
      </c>
      <c r="F75" s="15">
        <v>12000</v>
      </c>
      <c r="G75" s="1">
        <v>10104.04962</v>
      </c>
      <c r="H75" s="16">
        <f t="shared" si="23"/>
        <v>-1895.9503800000002</v>
      </c>
      <c r="I75" s="15">
        <f t="shared" si="24"/>
        <v>17000</v>
      </c>
      <c r="J75" s="1">
        <f t="shared" si="25"/>
        <v>12681.859619999999</v>
      </c>
      <c r="K75" s="17">
        <f t="shared" si="26"/>
        <v>-4318.1403799999998</v>
      </c>
      <c r="L75" s="9">
        <v>17500</v>
      </c>
      <c r="M75" s="11">
        <f t="shared" si="20"/>
        <v>8753.7096774193542</v>
      </c>
      <c r="N75" s="15">
        <v>10000</v>
      </c>
      <c r="O75" s="1">
        <v>7696.1431400000001</v>
      </c>
      <c r="P75" s="11">
        <f t="shared" si="27"/>
        <v>-2303.8568599999999</v>
      </c>
      <c r="Q75" s="15">
        <v>6000</v>
      </c>
      <c r="R75" s="1">
        <v>5380.1111999999994</v>
      </c>
      <c r="S75" s="22">
        <f t="shared" si="28"/>
        <v>-619.88880000000063</v>
      </c>
      <c r="T75" s="37">
        <f t="shared" si="29"/>
        <v>16000</v>
      </c>
      <c r="U75" s="2">
        <f t="shared" si="17"/>
        <v>13076.25434</v>
      </c>
      <c r="V75" s="20">
        <f t="shared" si="18"/>
        <v>-2923.7456600000005</v>
      </c>
      <c r="W75" s="21">
        <v>17000</v>
      </c>
      <c r="X75" s="11">
        <f t="shared" si="21"/>
        <v>11851.032258064517</v>
      </c>
      <c r="Y75" s="69">
        <f t="shared" si="30"/>
        <v>33000</v>
      </c>
      <c r="Z75" s="1">
        <f t="shared" si="31"/>
        <v>25758.113959999999</v>
      </c>
      <c r="AA75" s="1">
        <f t="shared" si="32"/>
        <v>-7241.8860400000003</v>
      </c>
      <c r="AB75" s="70">
        <f t="shared" si="33"/>
        <v>34500</v>
      </c>
      <c r="AC75" s="1">
        <f t="shared" si="34"/>
        <v>20604.741935483871</v>
      </c>
      <c r="AD75" s="68">
        <f t="shared" si="35"/>
        <v>1.0454545454545454</v>
      </c>
    </row>
    <row r="76" spans="2:30" x14ac:dyDescent="0.35">
      <c r="B76" s="7">
        <v>46093</v>
      </c>
      <c r="C76" s="10">
        <v>5000</v>
      </c>
      <c r="D76" s="1">
        <v>2532.5700000000002</v>
      </c>
      <c r="E76" s="11">
        <f t="shared" si="22"/>
        <v>-2467.4299999999998</v>
      </c>
      <c r="F76" s="15">
        <v>12000</v>
      </c>
      <c r="G76" s="1">
        <v>9933.4426199999998</v>
      </c>
      <c r="H76" s="16">
        <f t="shared" si="23"/>
        <v>-2066.5573800000002</v>
      </c>
      <c r="I76" s="15">
        <f t="shared" si="24"/>
        <v>17000</v>
      </c>
      <c r="J76" s="1">
        <f t="shared" si="25"/>
        <v>12466.01262</v>
      </c>
      <c r="K76" s="17">
        <f t="shared" si="26"/>
        <v>-4533.9873800000005</v>
      </c>
      <c r="L76" s="9">
        <v>17500</v>
      </c>
      <c r="M76" s="11">
        <f t="shared" si="20"/>
        <v>8753.7096774193542</v>
      </c>
      <c r="N76" s="15">
        <v>10000</v>
      </c>
      <c r="O76" s="1">
        <v>7885.4838999999993</v>
      </c>
      <c r="P76" s="11">
        <f t="shared" si="27"/>
        <v>-2114.5161000000007</v>
      </c>
      <c r="Q76" s="15">
        <v>6000</v>
      </c>
      <c r="R76" s="1">
        <v>5371.3625400000001</v>
      </c>
      <c r="S76" s="22">
        <f t="shared" si="28"/>
        <v>-628.63745999999992</v>
      </c>
      <c r="T76" s="37">
        <f t="shared" si="29"/>
        <v>16000</v>
      </c>
      <c r="U76" s="2">
        <f t="shared" si="17"/>
        <v>13256.846439999999</v>
      </c>
      <c r="V76" s="20">
        <f t="shared" si="18"/>
        <v>-2743.1535600000007</v>
      </c>
      <c r="W76" s="21">
        <v>17000</v>
      </c>
      <c r="X76" s="11">
        <f t="shared" si="21"/>
        <v>11851.032258064517</v>
      </c>
      <c r="Y76" s="69">
        <f t="shared" si="30"/>
        <v>33000</v>
      </c>
      <c r="Z76" s="1">
        <f t="shared" si="31"/>
        <v>25722.859059999999</v>
      </c>
      <c r="AA76" s="1">
        <f t="shared" si="32"/>
        <v>-7277.1409400000011</v>
      </c>
      <c r="AB76" s="70">
        <f t="shared" si="33"/>
        <v>34500</v>
      </c>
      <c r="AC76" s="1">
        <f t="shared" si="34"/>
        <v>20604.741935483871</v>
      </c>
      <c r="AD76" s="68">
        <f t="shared" si="35"/>
        <v>1.0454545454545454</v>
      </c>
    </row>
    <row r="77" spans="2:30" x14ac:dyDescent="0.35">
      <c r="B77" s="7">
        <v>46094</v>
      </c>
      <c r="C77" s="10">
        <v>5000</v>
      </c>
      <c r="D77" s="1">
        <v>2553.4500000000003</v>
      </c>
      <c r="E77" s="11">
        <f t="shared" si="22"/>
        <v>-2446.5499999999997</v>
      </c>
      <c r="F77" s="15">
        <v>12000</v>
      </c>
      <c r="G77" s="1">
        <v>9969.6275999999998</v>
      </c>
      <c r="H77" s="16">
        <f t="shared" si="23"/>
        <v>-2030.3724000000002</v>
      </c>
      <c r="I77" s="15">
        <f t="shared" si="24"/>
        <v>17000</v>
      </c>
      <c r="J77" s="1">
        <f t="shared" si="25"/>
        <v>12523.077600000001</v>
      </c>
      <c r="K77" s="17">
        <f t="shared" si="26"/>
        <v>-4476.9223999999995</v>
      </c>
      <c r="L77" s="9">
        <v>17500</v>
      </c>
      <c r="M77" s="11">
        <f t="shared" si="20"/>
        <v>8753.7096774193542</v>
      </c>
      <c r="N77" s="15">
        <v>10000</v>
      </c>
      <c r="O77" s="1">
        <v>7531.4056200000005</v>
      </c>
      <c r="P77" s="11">
        <f t="shared" si="27"/>
        <v>-2468.5943799999995</v>
      </c>
      <c r="Q77" s="15">
        <v>6000</v>
      </c>
      <c r="R77" s="1">
        <v>5559.9307800000006</v>
      </c>
      <c r="S77" s="22">
        <f t="shared" si="28"/>
        <v>-440.0692199999994</v>
      </c>
      <c r="T77" s="37">
        <f t="shared" si="29"/>
        <v>16000</v>
      </c>
      <c r="U77" s="2">
        <f t="shared" si="17"/>
        <v>13091.3364</v>
      </c>
      <c r="V77" s="20">
        <f t="shared" si="18"/>
        <v>-2908.663599999999</v>
      </c>
      <c r="W77" s="21">
        <v>17000</v>
      </c>
      <c r="X77" s="11">
        <f t="shared" si="21"/>
        <v>11851.032258064517</v>
      </c>
      <c r="Y77" s="69">
        <f t="shared" si="30"/>
        <v>33000</v>
      </c>
      <c r="Z77" s="1">
        <f t="shared" si="31"/>
        <v>25614.414000000001</v>
      </c>
      <c r="AA77" s="1">
        <f t="shared" si="32"/>
        <v>-7385.5859999999984</v>
      </c>
      <c r="AB77" s="70">
        <f t="shared" si="33"/>
        <v>34500</v>
      </c>
      <c r="AC77" s="1">
        <f t="shared" si="34"/>
        <v>20604.741935483871</v>
      </c>
      <c r="AD77" s="68">
        <f t="shared" si="35"/>
        <v>1.0454545454545454</v>
      </c>
    </row>
    <row r="78" spans="2:30" x14ac:dyDescent="0.35">
      <c r="B78" s="7">
        <v>46095</v>
      </c>
      <c r="C78" s="10">
        <v>5000</v>
      </c>
      <c r="D78" s="1">
        <v>1529.8950000000002</v>
      </c>
      <c r="E78" s="11">
        <f t="shared" si="22"/>
        <v>-3470.1049999999996</v>
      </c>
      <c r="F78" s="15">
        <v>12000</v>
      </c>
      <c r="G78" s="1">
        <v>10045.41</v>
      </c>
      <c r="H78" s="16">
        <f t="shared" si="23"/>
        <v>-1954.5900000000001</v>
      </c>
      <c r="I78" s="15">
        <f t="shared" si="24"/>
        <v>17000</v>
      </c>
      <c r="J78" s="1">
        <f t="shared" si="25"/>
        <v>11575.305</v>
      </c>
      <c r="K78" s="17">
        <f t="shared" si="26"/>
        <v>-5424.6949999999997</v>
      </c>
      <c r="L78" s="9">
        <v>17500</v>
      </c>
      <c r="M78" s="11">
        <f t="shared" si="20"/>
        <v>8753.7096774193542</v>
      </c>
      <c r="N78" s="15">
        <v>10000</v>
      </c>
      <c r="O78" s="1">
        <v>6696.0670399999999</v>
      </c>
      <c r="P78" s="11">
        <f t="shared" si="27"/>
        <v>-3303.9329600000001</v>
      </c>
      <c r="Q78" s="15">
        <v>6000</v>
      </c>
      <c r="R78" s="1">
        <v>5380.1225400000003</v>
      </c>
      <c r="S78" s="22">
        <f t="shared" si="28"/>
        <v>-619.8774599999997</v>
      </c>
      <c r="T78" s="37">
        <f t="shared" si="29"/>
        <v>16000</v>
      </c>
      <c r="U78" s="2">
        <f t="shared" si="17"/>
        <v>12076.18958</v>
      </c>
      <c r="V78" s="20">
        <f t="shared" si="18"/>
        <v>-3923.8104199999998</v>
      </c>
      <c r="W78" s="21">
        <v>17000</v>
      </c>
      <c r="X78" s="11">
        <f t="shared" si="21"/>
        <v>11851.032258064517</v>
      </c>
      <c r="Y78" s="69">
        <f t="shared" si="30"/>
        <v>33000</v>
      </c>
      <c r="Z78" s="1">
        <f t="shared" si="31"/>
        <v>23651.494579999999</v>
      </c>
      <c r="AA78" s="1">
        <f t="shared" si="32"/>
        <v>-9348.5054199999995</v>
      </c>
      <c r="AB78" s="70">
        <f t="shared" si="33"/>
        <v>34500</v>
      </c>
      <c r="AC78" s="1">
        <f t="shared" si="34"/>
        <v>20604.741935483871</v>
      </c>
      <c r="AD78" s="68">
        <f t="shared" si="35"/>
        <v>1.0454545454545454</v>
      </c>
    </row>
    <row r="79" spans="2:30" x14ac:dyDescent="0.35">
      <c r="B79" s="7">
        <v>46096</v>
      </c>
      <c r="C79" s="10">
        <v>5000</v>
      </c>
      <c r="D79" s="1">
        <v>1479.4487999999999</v>
      </c>
      <c r="E79" s="11">
        <f t="shared" si="22"/>
        <v>-3520.5511999999999</v>
      </c>
      <c r="F79" s="15">
        <v>12000</v>
      </c>
      <c r="G79" s="1">
        <v>10069.0875</v>
      </c>
      <c r="H79" s="16">
        <f t="shared" si="23"/>
        <v>-1930.9125000000004</v>
      </c>
      <c r="I79" s="15">
        <f t="shared" si="24"/>
        <v>17000</v>
      </c>
      <c r="J79" s="1">
        <f t="shared" si="25"/>
        <v>11548.5363</v>
      </c>
      <c r="K79" s="17">
        <f t="shared" si="26"/>
        <v>-5451.4637000000002</v>
      </c>
      <c r="L79" s="9">
        <v>17500</v>
      </c>
      <c r="M79" s="11">
        <f t="shared" si="20"/>
        <v>8753.7096774193542</v>
      </c>
      <c r="N79" s="15">
        <v>10000</v>
      </c>
      <c r="O79" s="1">
        <v>4352.1277799999998</v>
      </c>
      <c r="P79" s="11">
        <f t="shared" si="27"/>
        <v>-5647.8722200000002</v>
      </c>
      <c r="Q79" s="15">
        <v>6000</v>
      </c>
      <c r="R79" s="1">
        <v>1356.6623</v>
      </c>
      <c r="S79" s="22">
        <f t="shared" si="28"/>
        <v>-4643.3377</v>
      </c>
      <c r="T79" s="37">
        <f t="shared" si="29"/>
        <v>16000</v>
      </c>
      <c r="U79" s="2">
        <f t="shared" si="17"/>
        <v>5708.7900799999998</v>
      </c>
      <c r="V79" s="20">
        <f t="shared" si="18"/>
        <v>-10291.209920000001</v>
      </c>
      <c r="W79" s="21">
        <v>17000</v>
      </c>
      <c r="X79" s="11">
        <f t="shared" si="21"/>
        <v>11851.032258064517</v>
      </c>
      <c r="Y79" s="69">
        <f t="shared" si="30"/>
        <v>33000</v>
      </c>
      <c r="Z79" s="1">
        <f t="shared" si="31"/>
        <v>17257.326379999999</v>
      </c>
      <c r="AA79" s="1">
        <f t="shared" si="32"/>
        <v>-15742.673620000001</v>
      </c>
      <c r="AB79" s="70">
        <f t="shared" si="33"/>
        <v>34500</v>
      </c>
      <c r="AC79" s="1">
        <f t="shared" si="34"/>
        <v>20604.741935483871</v>
      </c>
      <c r="AD79" s="68">
        <f t="shared" si="35"/>
        <v>1.0454545454545454</v>
      </c>
    </row>
    <row r="80" spans="2:30" x14ac:dyDescent="0.35">
      <c r="B80" s="7">
        <v>46097</v>
      </c>
      <c r="C80" s="10">
        <v>5000</v>
      </c>
      <c r="D80" s="1">
        <v>2533.9271999999996</v>
      </c>
      <c r="E80" s="11">
        <f t="shared" si="22"/>
        <v>-2466.0728000000004</v>
      </c>
      <c r="F80" s="15">
        <v>12000</v>
      </c>
      <c r="G80" s="1">
        <v>10114.843500000001</v>
      </c>
      <c r="H80" s="16">
        <f t="shared" si="23"/>
        <v>-1885.1564999999991</v>
      </c>
      <c r="I80" s="15">
        <f t="shared" si="24"/>
        <v>17000</v>
      </c>
      <c r="J80" s="1">
        <f t="shared" si="25"/>
        <v>12648.770700000001</v>
      </c>
      <c r="K80" s="17">
        <f t="shared" si="26"/>
        <v>-4351.2292999999991</v>
      </c>
      <c r="L80" s="9">
        <v>17500</v>
      </c>
      <c r="M80" s="11">
        <f t="shared" si="20"/>
        <v>8753.7096774193542</v>
      </c>
      <c r="N80" s="15">
        <v>10000</v>
      </c>
      <c r="O80" s="1">
        <v>4617.4427400000004</v>
      </c>
      <c r="P80" s="11">
        <f t="shared" si="27"/>
        <v>-5382.5572599999996</v>
      </c>
      <c r="Q80" s="15">
        <v>6000</v>
      </c>
      <c r="R80" s="1">
        <v>1041.30798</v>
      </c>
      <c r="S80" s="22">
        <f t="shared" si="28"/>
        <v>-4958.6920200000004</v>
      </c>
      <c r="T80" s="37">
        <f t="shared" si="29"/>
        <v>16000</v>
      </c>
      <c r="U80" s="2">
        <f t="shared" si="17"/>
        <v>5658.75072</v>
      </c>
      <c r="V80" s="20">
        <f t="shared" si="18"/>
        <v>-10341.24928</v>
      </c>
      <c r="W80" s="21">
        <v>17000</v>
      </c>
      <c r="X80" s="11">
        <f t="shared" si="21"/>
        <v>11851.032258064517</v>
      </c>
      <c r="Y80" s="69">
        <f t="shared" si="30"/>
        <v>33000</v>
      </c>
      <c r="Z80" s="1">
        <f t="shared" si="31"/>
        <v>18307.521420000001</v>
      </c>
      <c r="AA80" s="1">
        <f t="shared" si="32"/>
        <v>-14692.478579999999</v>
      </c>
      <c r="AB80" s="70">
        <f t="shared" si="33"/>
        <v>34500</v>
      </c>
      <c r="AC80" s="1">
        <f t="shared" si="34"/>
        <v>20604.741935483871</v>
      </c>
      <c r="AD80" s="68">
        <f t="shared" si="35"/>
        <v>1.0454545454545454</v>
      </c>
    </row>
    <row r="81" spans="2:30" x14ac:dyDescent="0.35">
      <c r="B81" s="7">
        <v>46098</v>
      </c>
      <c r="C81" s="10">
        <v>5000</v>
      </c>
      <c r="D81" s="1">
        <v>3125.8751999999999</v>
      </c>
      <c r="E81" s="11">
        <f t="shared" si="22"/>
        <v>-1874.1248000000001</v>
      </c>
      <c r="F81" s="15">
        <v>12000</v>
      </c>
      <c r="G81" s="1">
        <v>9881.4629700000005</v>
      </c>
      <c r="H81" s="16">
        <f t="shared" si="23"/>
        <v>-2118.5370299999995</v>
      </c>
      <c r="I81" s="15">
        <f t="shared" si="24"/>
        <v>17000</v>
      </c>
      <c r="J81" s="1">
        <f t="shared" si="25"/>
        <v>13007.338170000001</v>
      </c>
      <c r="K81" s="17">
        <f t="shared" si="26"/>
        <v>-3992.6618299999996</v>
      </c>
      <c r="L81" s="9">
        <v>17500</v>
      </c>
      <c r="M81" s="11">
        <f t="shared" si="20"/>
        <v>8753.7096774193542</v>
      </c>
      <c r="N81" s="15">
        <v>10000</v>
      </c>
      <c r="O81" s="1">
        <v>6061.7904600000002</v>
      </c>
      <c r="P81" s="11">
        <f t="shared" si="27"/>
        <v>-3938.2095399999998</v>
      </c>
      <c r="Q81" s="15">
        <v>6000</v>
      </c>
      <c r="R81" s="1">
        <v>3590.9926000000005</v>
      </c>
      <c r="S81" s="22">
        <f t="shared" si="28"/>
        <v>-2409.0073999999995</v>
      </c>
      <c r="T81" s="37">
        <f t="shared" si="29"/>
        <v>16000</v>
      </c>
      <c r="U81" s="2">
        <f t="shared" si="17"/>
        <v>9652.7830600000016</v>
      </c>
      <c r="V81" s="20">
        <f t="shared" si="18"/>
        <v>-6347.2169399999993</v>
      </c>
      <c r="W81" s="21">
        <v>17000</v>
      </c>
      <c r="X81" s="11">
        <f t="shared" si="21"/>
        <v>11851.032258064517</v>
      </c>
      <c r="Y81" s="69">
        <f t="shared" si="30"/>
        <v>33000</v>
      </c>
      <c r="Z81" s="1">
        <f t="shared" si="31"/>
        <v>22660.121230000004</v>
      </c>
      <c r="AA81" s="1">
        <f t="shared" si="32"/>
        <v>-10339.878769999999</v>
      </c>
      <c r="AB81" s="70">
        <f t="shared" si="33"/>
        <v>34500</v>
      </c>
      <c r="AC81" s="1">
        <f t="shared" si="34"/>
        <v>20604.741935483871</v>
      </c>
      <c r="AD81" s="68">
        <f t="shared" si="35"/>
        <v>1.0454545454545454</v>
      </c>
    </row>
    <row r="82" spans="2:30" x14ac:dyDescent="0.35">
      <c r="B82" s="7">
        <v>46099</v>
      </c>
      <c r="C82" s="10">
        <v>5000</v>
      </c>
      <c r="D82" s="1">
        <v>3465.1095</v>
      </c>
      <c r="E82" s="11">
        <f t="shared" si="22"/>
        <v>-1534.8905</v>
      </c>
      <c r="F82" s="15">
        <v>12000</v>
      </c>
      <c r="G82" s="1">
        <v>9862.3779300000006</v>
      </c>
      <c r="H82" s="16">
        <f t="shared" si="23"/>
        <v>-2137.6220699999994</v>
      </c>
      <c r="I82" s="15">
        <f t="shared" si="24"/>
        <v>17000</v>
      </c>
      <c r="J82" s="1">
        <f t="shared" si="25"/>
        <v>13327.487430000001</v>
      </c>
      <c r="K82" s="17">
        <f t="shared" si="26"/>
        <v>-3672.5125699999994</v>
      </c>
      <c r="L82" s="9">
        <v>17500</v>
      </c>
      <c r="M82" s="11">
        <f t="shared" si="20"/>
        <v>8753.7096774193542</v>
      </c>
      <c r="N82" s="15">
        <v>10000</v>
      </c>
      <c r="O82" s="1">
        <v>7047.5580799999998</v>
      </c>
      <c r="P82" s="11">
        <f t="shared" si="27"/>
        <v>-2952.4419200000002</v>
      </c>
      <c r="Q82" s="15">
        <v>6000</v>
      </c>
      <c r="R82" s="1">
        <v>4401.9904000000006</v>
      </c>
      <c r="S82" s="22">
        <f t="shared" si="28"/>
        <v>-1598.0095999999994</v>
      </c>
      <c r="T82" s="37">
        <f t="shared" si="29"/>
        <v>16000</v>
      </c>
      <c r="U82" s="2">
        <f t="shared" si="17"/>
        <v>11449.548480000001</v>
      </c>
      <c r="V82" s="20">
        <f t="shared" si="18"/>
        <v>-4550.4515199999996</v>
      </c>
      <c r="W82" s="21">
        <v>17000</v>
      </c>
      <c r="X82" s="11">
        <f t="shared" si="21"/>
        <v>11851.032258064517</v>
      </c>
      <c r="Y82" s="69">
        <f t="shared" si="30"/>
        <v>33000</v>
      </c>
      <c r="Z82" s="1">
        <f t="shared" si="31"/>
        <v>24777.035910000002</v>
      </c>
      <c r="AA82" s="1">
        <f t="shared" si="32"/>
        <v>-8222.9640899999995</v>
      </c>
      <c r="AB82" s="70">
        <f t="shared" si="33"/>
        <v>34500</v>
      </c>
      <c r="AC82" s="1">
        <f t="shared" si="34"/>
        <v>20604.741935483871</v>
      </c>
      <c r="AD82" s="68">
        <f t="shared" si="35"/>
        <v>1.0454545454545454</v>
      </c>
    </row>
    <row r="83" spans="2:30" x14ac:dyDescent="0.35">
      <c r="B83" s="7">
        <v>46100</v>
      </c>
      <c r="C83" s="10">
        <v>5000</v>
      </c>
      <c r="D83" s="1">
        <v>3580.1923999999995</v>
      </c>
      <c r="E83" s="11">
        <f t="shared" si="22"/>
        <v>-1419.8076000000005</v>
      </c>
      <c r="F83" s="15">
        <v>12000</v>
      </c>
      <c r="G83" s="1">
        <v>9587.1741000000002</v>
      </c>
      <c r="H83" s="16">
        <f t="shared" si="23"/>
        <v>-2412.8258999999998</v>
      </c>
      <c r="I83" s="15">
        <f t="shared" si="24"/>
        <v>17000</v>
      </c>
      <c r="J83" s="1">
        <f t="shared" si="25"/>
        <v>13167.3665</v>
      </c>
      <c r="K83" s="17">
        <f t="shared" si="26"/>
        <v>-3832.6335000000004</v>
      </c>
      <c r="L83" s="9">
        <v>17500</v>
      </c>
      <c r="M83" s="11">
        <f t="shared" si="20"/>
        <v>8753.7096774193542</v>
      </c>
      <c r="N83" s="15">
        <v>10000</v>
      </c>
      <c r="O83" s="1">
        <v>7320.6619999999994</v>
      </c>
      <c r="P83" s="11">
        <f t="shared" si="27"/>
        <v>-2679.3380000000006</v>
      </c>
      <c r="Q83" s="15">
        <v>6000</v>
      </c>
      <c r="R83" s="1">
        <v>4691.6475</v>
      </c>
      <c r="S83" s="22">
        <f t="shared" si="28"/>
        <v>-1308.3525</v>
      </c>
      <c r="T83" s="37">
        <f t="shared" si="29"/>
        <v>16000</v>
      </c>
      <c r="U83" s="2">
        <f t="shared" si="17"/>
        <v>12012.309499999999</v>
      </c>
      <c r="V83" s="20">
        <f t="shared" si="18"/>
        <v>-3987.6905000000006</v>
      </c>
      <c r="W83" s="21">
        <v>17000</v>
      </c>
      <c r="X83" s="11">
        <f t="shared" si="21"/>
        <v>11851.032258064517</v>
      </c>
      <c r="Y83" s="69">
        <f t="shared" si="30"/>
        <v>33000</v>
      </c>
      <c r="Z83" s="1">
        <f t="shared" si="31"/>
        <v>25179.675999999999</v>
      </c>
      <c r="AA83" s="1">
        <f t="shared" si="32"/>
        <v>-7820.3240000000005</v>
      </c>
      <c r="AB83" s="70">
        <f t="shared" si="33"/>
        <v>34500</v>
      </c>
      <c r="AC83" s="1">
        <f t="shared" si="34"/>
        <v>20604.741935483871</v>
      </c>
      <c r="AD83" s="68">
        <f t="shared" si="35"/>
        <v>1.0454545454545454</v>
      </c>
    </row>
    <row r="84" spans="2:30" x14ac:dyDescent="0.35">
      <c r="B84" s="7">
        <v>46101</v>
      </c>
      <c r="C84" s="10">
        <v>5000</v>
      </c>
      <c r="D84" s="1">
        <v>3619.2051999999999</v>
      </c>
      <c r="E84" s="11">
        <f t="shared" si="22"/>
        <v>-1380.7948000000001</v>
      </c>
      <c r="F84" s="15">
        <v>12000</v>
      </c>
      <c r="G84" s="1">
        <v>10115.8675</v>
      </c>
      <c r="H84" s="16">
        <f t="shared" si="23"/>
        <v>-1884.1324999999997</v>
      </c>
      <c r="I84" s="15">
        <f t="shared" si="24"/>
        <v>17000</v>
      </c>
      <c r="J84" s="1">
        <f t="shared" si="25"/>
        <v>13735.072700000001</v>
      </c>
      <c r="K84" s="17">
        <f t="shared" si="26"/>
        <v>-3264.9272999999998</v>
      </c>
      <c r="L84" s="9">
        <v>17500</v>
      </c>
      <c r="M84" s="11">
        <f t="shared" si="20"/>
        <v>8753.7096774193542</v>
      </c>
      <c r="N84" s="15">
        <v>10000</v>
      </c>
      <c r="O84" s="1">
        <v>7137.1790200000005</v>
      </c>
      <c r="P84" s="11">
        <f t="shared" si="27"/>
        <v>-2862.8209799999995</v>
      </c>
      <c r="Q84" s="15">
        <v>6000</v>
      </c>
      <c r="R84" s="1">
        <v>5083.9173000000001</v>
      </c>
      <c r="S84" s="22">
        <f t="shared" si="28"/>
        <v>-916.08269999999993</v>
      </c>
      <c r="T84" s="37">
        <f t="shared" si="29"/>
        <v>16000</v>
      </c>
      <c r="U84" s="2">
        <f t="shared" si="17"/>
        <v>12221.096320000001</v>
      </c>
      <c r="V84" s="20">
        <f t="shared" si="18"/>
        <v>-3778.9036799999994</v>
      </c>
      <c r="W84" s="21">
        <v>17000</v>
      </c>
      <c r="X84" s="11">
        <f t="shared" si="21"/>
        <v>11851.032258064517</v>
      </c>
      <c r="Y84" s="69">
        <f t="shared" si="30"/>
        <v>33000</v>
      </c>
      <c r="Z84" s="1">
        <f t="shared" si="31"/>
        <v>25956.169020000001</v>
      </c>
      <c r="AA84" s="1">
        <f t="shared" si="32"/>
        <v>-7043.8309799999988</v>
      </c>
      <c r="AB84" s="70">
        <f t="shared" si="33"/>
        <v>34500</v>
      </c>
      <c r="AC84" s="1">
        <f t="shared" si="34"/>
        <v>20604.741935483871</v>
      </c>
      <c r="AD84" s="68">
        <f t="shared" si="35"/>
        <v>1.0454545454545454</v>
      </c>
    </row>
    <row r="85" spans="2:30" x14ac:dyDescent="0.35">
      <c r="B85" s="7">
        <v>46102</v>
      </c>
      <c r="C85" s="10">
        <v>5000</v>
      </c>
      <c r="D85" s="1">
        <v>3622.7905999999998</v>
      </c>
      <c r="E85" s="11">
        <f t="shared" si="22"/>
        <v>-1377.2094000000002</v>
      </c>
      <c r="F85" s="15">
        <v>12000</v>
      </c>
      <c r="G85" s="1">
        <v>10157.079</v>
      </c>
      <c r="H85" s="16">
        <f t="shared" si="23"/>
        <v>-1842.9210000000003</v>
      </c>
      <c r="I85" s="15">
        <f t="shared" si="24"/>
        <v>17000</v>
      </c>
      <c r="J85" s="1">
        <f t="shared" si="25"/>
        <v>13779.8696</v>
      </c>
      <c r="K85" s="17">
        <f t="shared" si="26"/>
        <v>-3220.1304000000005</v>
      </c>
      <c r="L85" s="9">
        <v>17500</v>
      </c>
      <c r="M85" s="11">
        <f t="shared" si="20"/>
        <v>8753.7096774193542</v>
      </c>
      <c r="N85" s="15">
        <v>10000</v>
      </c>
      <c r="O85" s="1">
        <v>7346.1326399999998</v>
      </c>
      <c r="P85" s="11">
        <f t="shared" si="27"/>
        <v>-2653.8673600000002</v>
      </c>
      <c r="Q85" s="15">
        <v>6000</v>
      </c>
      <c r="R85" s="1">
        <v>5090.74467</v>
      </c>
      <c r="S85" s="22">
        <f t="shared" si="28"/>
        <v>-909.25532999999996</v>
      </c>
      <c r="T85" s="37">
        <f t="shared" si="29"/>
        <v>16000</v>
      </c>
      <c r="U85" s="2">
        <f t="shared" si="17"/>
        <v>12436.87731</v>
      </c>
      <c r="V85" s="20">
        <f t="shared" si="18"/>
        <v>-3563.1226900000001</v>
      </c>
      <c r="W85" s="21">
        <v>17000</v>
      </c>
      <c r="X85" s="11">
        <f t="shared" si="21"/>
        <v>11851.032258064517</v>
      </c>
      <c r="Y85" s="69">
        <f t="shared" si="30"/>
        <v>33000</v>
      </c>
      <c r="Z85" s="1">
        <f t="shared" si="31"/>
        <v>26216.746910000002</v>
      </c>
      <c r="AA85" s="1">
        <f t="shared" si="32"/>
        <v>-6783.2530900000002</v>
      </c>
      <c r="AB85" s="70">
        <f t="shared" si="33"/>
        <v>34500</v>
      </c>
      <c r="AC85" s="1">
        <f t="shared" si="34"/>
        <v>20604.741935483871</v>
      </c>
      <c r="AD85" s="68">
        <f t="shared" si="35"/>
        <v>1.0454545454545454</v>
      </c>
    </row>
    <row r="86" spans="2:30" x14ac:dyDescent="0.35">
      <c r="B86" s="7">
        <v>46103</v>
      </c>
      <c r="C86" s="10">
        <v>5000</v>
      </c>
      <c r="D86" s="1">
        <v>3512.672</v>
      </c>
      <c r="E86" s="11">
        <f t="shared" si="22"/>
        <v>-1487.328</v>
      </c>
      <c r="F86" s="15">
        <v>12000</v>
      </c>
      <c r="G86" s="1">
        <v>10223.766</v>
      </c>
      <c r="H86" s="16">
        <f t="shared" si="23"/>
        <v>-1776.2340000000004</v>
      </c>
      <c r="I86" s="15">
        <f t="shared" si="24"/>
        <v>17000</v>
      </c>
      <c r="J86" s="1">
        <f t="shared" si="25"/>
        <v>13736.438</v>
      </c>
      <c r="K86" s="17">
        <f t="shared" si="26"/>
        <v>-3263.5620000000004</v>
      </c>
      <c r="L86" s="9">
        <v>17500</v>
      </c>
      <c r="M86" s="11">
        <f t="shared" si="20"/>
        <v>8753.7096774193542</v>
      </c>
      <c r="N86" s="15">
        <v>10000</v>
      </c>
      <c r="O86" s="1">
        <v>7183.5385999999999</v>
      </c>
      <c r="P86" s="11">
        <f t="shared" si="27"/>
        <v>-2816.4614000000001</v>
      </c>
      <c r="Q86" s="15">
        <v>6000</v>
      </c>
      <c r="R86" s="1">
        <v>5188.7469199999996</v>
      </c>
      <c r="S86" s="22">
        <f t="shared" si="28"/>
        <v>-811.25308000000041</v>
      </c>
      <c r="T86" s="37">
        <f t="shared" si="29"/>
        <v>16000</v>
      </c>
      <c r="U86" s="2">
        <f t="shared" ref="U86:U130" si="36">O86+R86</f>
        <v>12372.285519999999</v>
      </c>
      <c r="V86" s="20">
        <f t="shared" ref="V86:V131" si="37">P86+S86</f>
        <v>-3627.7144800000005</v>
      </c>
      <c r="W86" s="21">
        <v>17000</v>
      </c>
      <c r="X86" s="11">
        <f t="shared" si="21"/>
        <v>11851.032258064517</v>
      </c>
      <c r="Y86" s="69">
        <f t="shared" si="30"/>
        <v>33000</v>
      </c>
      <c r="Z86" s="1">
        <f t="shared" si="31"/>
        <v>26108.72352</v>
      </c>
      <c r="AA86" s="1">
        <f t="shared" si="32"/>
        <v>-6891.2764800000004</v>
      </c>
      <c r="AB86" s="70">
        <f t="shared" si="33"/>
        <v>34500</v>
      </c>
      <c r="AC86" s="1">
        <f t="shared" si="34"/>
        <v>20604.741935483871</v>
      </c>
      <c r="AD86" s="68">
        <f t="shared" si="35"/>
        <v>1.0454545454545454</v>
      </c>
    </row>
    <row r="87" spans="2:30" x14ac:dyDescent="0.35">
      <c r="B87" s="7">
        <v>46104</v>
      </c>
      <c r="C87" s="10">
        <v>5000</v>
      </c>
      <c r="D87" s="1">
        <v>3533.9180000000001</v>
      </c>
      <c r="E87" s="11">
        <f t="shared" si="22"/>
        <v>-1466.0819999999999</v>
      </c>
      <c r="F87" s="15">
        <v>12000</v>
      </c>
      <c r="G87" s="1">
        <v>10219.637999999999</v>
      </c>
      <c r="H87" s="16">
        <f t="shared" si="23"/>
        <v>-1780.362000000001</v>
      </c>
      <c r="I87" s="15">
        <f t="shared" si="24"/>
        <v>17000</v>
      </c>
      <c r="J87" s="1">
        <f t="shared" si="25"/>
        <v>13753.555999999999</v>
      </c>
      <c r="K87" s="17">
        <f t="shared" si="26"/>
        <v>-3246.4440000000009</v>
      </c>
      <c r="L87" s="9">
        <v>17500</v>
      </c>
      <c r="M87" s="11">
        <f t="shared" si="20"/>
        <v>8753.7096774193542</v>
      </c>
      <c r="N87" s="15">
        <v>10000</v>
      </c>
      <c r="O87" s="1">
        <v>7615.6318799999999</v>
      </c>
      <c r="P87" s="11">
        <f t="shared" si="27"/>
        <v>-2384.3681200000001</v>
      </c>
      <c r="Q87" s="15">
        <v>6000</v>
      </c>
      <c r="R87" s="1">
        <v>5148.5241599999999</v>
      </c>
      <c r="S87" s="22">
        <f t="shared" si="28"/>
        <v>-851.47584000000006</v>
      </c>
      <c r="T87" s="37">
        <f t="shared" si="29"/>
        <v>16000</v>
      </c>
      <c r="U87" s="2">
        <f t="shared" si="36"/>
        <v>12764.15604</v>
      </c>
      <c r="V87" s="20">
        <f t="shared" si="37"/>
        <v>-3235.8439600000002</v>
      </c>
      <c r="W87" s="21">
        <v>17000</v>
      </c>
      <c r="X87" s="11">
        <f t="shared" si="21"/>
        <v>11851.032258064517</v>
      </c>
      <c r="Y87" s="69">
        <f t="shared" si="30"/>
        <v>33000</v>
      </c>
      <c r="Z87" s="1">
        <f t="shared" si="31"/>
        <v>26517.712039999999</v>
      </c>
      <c r="AA87" s="1">
        <f t="shared" si="32"/>
        <v>-6482.2879600000015</v>
      </c>
      <c r="AB87" s="70">
        <f t="shared" si="33"/>
        <v>34500</v>
      </c>
      <c r="AC87" s="1">
        <f t="shared" si="34"/>
        <v>20604.741935483871</v>
      </c>
      <c r="AD87" s="68">
        <f t="shared" si="35"/>
        <v>1.0454545454545454</v>
      </c>
    </row>
    <row r="88" spans="2:30" x14ac:dyDescent="0.35">
      <c r="B88" s="7">
        <v>46105</v>
      </c>
      <c r="C88" s="10">
        <v>5000</v>
      </c>
      <c r="D88" s="1">
        <v>3526.9319999999998</v>
      </c>
      <c r="E88" s="11">
        <f t="shared" si="22"/>
        <v>-1473.0680000000002</v>
      </c>
      <c r="F88" s="15">
        <v>12000</v>
      </c>
      <c r="G88" s="1">
        <v>10211.4756</v>
      </c>
      <c r="H88" s="16">
        <f t="shared" si="23"/>
        <v>-1788.5244000000002</v>
      </c>
      <c r="I88" s="15">
        <f t="shared" si="24"/>
        <v>17000</v>
      </c>
      <c r="J88" s="1">
        <f t="shared" si="25"/>
        <v>13738.407599999999</v>
      </c>
      <c r="K88" s="17">
        <f t="shared" si="26"/>
        <v>-3261.5924000000005</v>
      </c>
      <c r="L88" s="9">
        <v>17500</v>
      </c>
      <c r="M88" s="11">
        <f t="shared" si="20"/>
        <v>8753.7096774193542</v>
      </c>
      <c r="N88" s="15">
        <v>10000</v>
      </c>
      <c r="O88" s="1">
        <v>7749.1109799999995</v>
      </c>
      <c r="P88" s="11">
        <f t="shared" si="27"/>
        <v>-2250.8890200000005</v>
      </c>
      <c r="Q88" s="15">
        <v>6000</v>
      </c>
      <c r="R88" s="1">
        <v>5077.2989600000001</v>
      </c>
      <c r="S88" s="22">
        <f t="shared" si="28"/>
        <v>-922.70103999999992</v>
      </c>
      <c r="T88" s="37">
        <f t="shared" si="29"/>
        <v>16000</v>
      </c>
      <c r="U88" s="2">
        <f t="shared" si="36"/>
        <v>12826.40994</v>
      </c>
      <c r="V88" s="20">
        <f t="shared" si="37"/>
        <v>-3173.5900600000004</v>
      </c>
      <c r="W88" s="21">
        <v>17000</v>
      </c>
      <c r="X88" s="11">
        <f t="shared" si="21"/>
        <v>11851.032258064517</v>
      </c>
      <c r="Y88" s="69">
        <f t="shared" si="30"/>
        <v>33000</v>
      </c>
      <c r="Z88" s="1">
        <f t="shared" si="31"/>
        <v>26564.817539999996</v>
      </c>
      <c r="AA88" s="1">
        <f t="shared" si="32"/>
        <v>-6435.1824600000009</v>
      </c>
      <c r="AB88" s="70">
        <f t="shared" si="33"/>
        <v>34500</v>
      </c>
      <c r="AC88" s="1">
        <f t="shared" si="34"/>
        <v>20604.741935483871</v>
      </c>
      <c r="AD88" s="68">
        <f t="shared" si="35"/>
        <v>1.0454545454545454</v>
      </c>
    </row>
    <row r="89" spans="2:30" x14ac:dyDescent="0.35">
      <c r="B89" s="7">
        <v>46106</v>
      </c>
      <c r="C89" s="10">
        <v>5000</v>
      </c>
      <c r="D89" s="1">
        <v>3443.1395000000002</v>
      </c>
      <c r="E89" s="11">
        <f t="shared" si="22"/>
        <v>-1556.8604999999998</v>
      </c>
      <c r="F89" s="15">
        <v>12000</v>
      </c>
      <c r="G89" s="1">
        <v>10197.366480000001</v>
      </c>
      <c r="H89" s="16">
        <f t="shared" si="23"/>
        <v>-1802.6335199999994</v>
      </c>
      <c r="I89" s="15">
        <f t="shared" si="24"/>
        <v>17000</v>
      </c>
      <c r="J89" s="1">
        <f t="shared" si="25"/>
        <v>13640.505980000002</v>
      </c>
      <c r="K89" s="17">
        <f t="shared" si="26"/>
        <v>-3359.4940199999992</v>
      </c>
      <c r="L89" s="9">
        <v>17500</v>
      </c>
      <c r="M89" s="11">
        <f t="shared" si="20"/>
        <v>8753.7096774193542</v>
      </c>
      <c r="N89" s="15">
        <v>10000</v>
      </c>
      <c r="O89" s="1">
        <v>7551.7761199999995</v>
      </c>
      <c r="P89" s="11">
        <f t="shared" si="27"/>
        <v>-2448.2238800000005</v>
      </c>
      <c r="Q89" s="15">
        <v>6000</v>
      </c>
      <c r="R89" s="1">
        <v>5065.8116399999999</v>
      </c>
      <c r="S89" s="22">
        <f t="shared" si="28"/>
        <v>-934.1883600000001</v>
      </c>
      <c r="T89" s="37">
        <f t="shared" si="29"/>
        <v>16000</v>
      </c>
      <c r="U89" s="2">
        <f t="shared" si="36"/>
        <v>12617.587759999999</v>
      </c>
      <c r="V89" s="20">
        <f t="shared" si="37"/>
        <v>-3382.4122400000006</v>
      </c>
      <c r="W89" s="21">
        <v>17000</v>
      </c>
      <c r="X89" s="11">
        <f t="shared" si="21"/>
        <v>11851.032258064517</v>
      </c>
      <c r="Y89" s="69">
        <f t="shared" si="30"/>
        <v>33000</v>
      </c>
      <c r="Z89" s="1">
        <f t="shared" si="31"/>
        <v>26258.09374</v>
      </c>
      <c r="AA89" s="1">
        <f t="shared" si="32"/>
        <v>-6741.9062599999997</v>
      </c>
      <c r="AB89" s="70">
        <f t="shared" si="33"/>
        <v>34500</v>
      </c>
      <c r="AC89" s="1">
        <f t="shared" si="34"/>
        <v>20604.741935483871</v>
      </c>
      <c r="AD89" s="68">
        <f t="shared" si="35"/>
        <v>1.0454545454545454</v>
      </c>
    </row>
    <row r="90" spans="2:30" x14ac:dyDescent="0.35">
      <c r="B90" s="7">
        <v>46107</v>
      </c>
      <c r="C90" s="10">
        <v>5000</v>
      </c>
      <c r="D90" s="1">
        <v>3015.8438999999998</v>
      </c>
      <c r="E90" s="11">
        <f t="shared" si="22"/>
        <v>-1984.1561000000002</v>
      </c>
      <c r="F90" s="15">
        <v>12000</v>
      </c>
      <c r="G90" s="1">
        <v>9928.8456800000004</v>
      </c>
      <c r="H90" s="16">
        <f t="shared" si="23"/>
        <v>-2071.1543199999996</v>
      </c>
      <c r="I90" s="15">
        <f t="shared" si="24"/>
        <v>17000</v>
      </c>
      <c r="J90" s="1">
        <f t="shared" si="25"/>
        <v>12944.68958</v>
      </c>
      <c r="K90" s="17">
        <f t="shared" si="26"/>
        <v>-4055.3104199999998</v>
      </c>
      <c r="L90" s="9">
        <v>17500</v>
      </c>
      <c r="M90" s="11">
        <f t="shared" si="20"/>
        <v>8753.7096774193542</v>
      </c>
      <c r="N90" s="15">
        <v>10000</v>
      </c>
      <c r="O90" s="1">
        <v>7537.6045799999993</v>
      </c>
      <c r="P90" s="11">
        <f t="shared" si="27"/>
        <v>-2462.3954200000007</v>
      </c>
      <c r="Q90" s="15">
        <v>6000</v>
      </c>
      <c r="R90" s="1">
        <v>5124.2270399999998</v>
      </c>
      <c r="S90" s="22">
        <f t="shared" si="28"/>
        <v>-875.77296000000024</v>
      </c>
      <c r="T90" s="37">
        <f t="shared" si="29"/>
        <v>16000</v>
      </c>
      <c r="U90" s="2">
        <f t="shared" si="36"/>
        <v>12661.831619999999</v>
      </c>
      <c r="V90" s="20">
        <f t="shared" si="37"/>
        <v>-3338.168380000001</v>
      </c>
      <c r="W90" s="21">
        <v>17000</v>
      </c>
      <c r="X90" s="11">
        <f t="shared" si="21"/>
        <v>11851.032258064517</v>
      </c>
      <c r="Y90" s="69">
        <f t="shared" si="30"/>
        <v>33000</v>
      </c>
      <c r="Z90" s="1">
        <f t="shared" si="31"/>
        <v>25606.521199999999</v>
      </c>
      <c r="AA90" s="1">
        <f t="shared" si="32"/>
        <v>-7393.4788000000008</v>
      </c>
      <c r="AB90" s="70">
        <f t="shared" si="33"/>
        <v>34500</v>
      </c>
      <c r="AC90" s="1">
        <f t="shared" si="34"/>
        <v>20604.741935483871</v>
      </c>
      <c r="AD90" s="68">
        <f t="shared" si="35"/>
        <v>1.0454545454545454</v>
      </c>
    </row>
    <row r="91" spans="2:30" x14ac:dyDescent="0.35">
      <c r="B91" s="7">
        <v>46108</v>
      </c>
      <c r="C91" s="10">
        <v>5000</v>
      </c>
      <c r="D91" s="1">
        <v>3664.6420000000003</v>
      </c>
      <c r="E91" s="11">
        <f t="shared" si="22"/>
        <v>-1335.3579999999997</v>
      </c>
      <c r="F91" s="15">
        <v>12000</v>
      </c>
      <c r="G91" s="1">
        <v>9536.0956800000004</v>
      </c>
      <c r="H91" s="16">
        <f t="shared" si="23"/>
        <v>-2463.9043199999996</v>
      </c>
      <c r="I91" s="15">
        <f t="shared" si="24"/>
        <v>17000</v>
      </c>
      <c r="J91" s="1">
        <f t="shared" si="25"/>
        <v>13200.73768</v>
      </c>
      <c r="K91" s="17">
        <f t="shared" si="26"/>
        <v>-3799.2623199999994</v>
      </c>
      <c r="L91" s="9">
        <v>17500</v>
      </c>
      <c r="M91" s="11">
        <f t="shared" si="20"/>
        <v>8753.7096774193542</v>
      </c>
      <c r="N91" s="15">
        <v>10000</v>
      </c>
      <c r="O91" s="1">
        <v>7363.0995000000012</v>
      </c>
      <c r="P91" s="11">
        <f t="shared" si="27"/>
        <v>-2636.9004999999988</v>
      </c>
      <c r="Q91" s="15">
        <v>6000</v>
      </c>
      <c r="R91" s="1">
        <v>5016.2641199999998</v>
      </c>
      <c r="S91" s="22">
        <f t="shared" si="28"/>
        <v>-983.73588000000018</v>
      </c>
      <c r="T91" s="37">
        <f t="shared" si="29"/>
        <v>16000</v>
      </c>
      <c r="U91" s="2">
        <f t="shared" si="36"/>
        <v>12379.36362</v>
      </c>
      <c r="V91" s="20">
        <f t="shared" si="37"/>
        <v>-3620.636379999999</v>
      </c>
      <c r="W91" s="21">
        <v>17000</v>
      </c>
      <c r="X91" s="11">
        <f t="shared" si="21"/>
        <v>11851.032258064517</v>
      </c>
      <c r="Y91" s="69">
        <f t="shared" si="30"/>
        <v>33000</v>
      </c>
      <c r="Z91" s="1">
        <f t="shared" si="31"/>
        <v>25580.101300000002</v>
      </c>
      <c r="AA91" s="1">
        <f t="shared" si="32"/>
        <v>-7419.8986999999979</v>
      </c>
      <c r="AB91" s="70">
        <f t="shared" si="33"/>
        <v>34500</v>
      </c>
      <c r="AC91" s="1">
        <f t="shared" si="34"/>
        <v>20604.741935483871</v>
      </c>
      <c r="AD91" s="68">
        <f t="shared" si="35"/>
        <v>1.0454545454545454</v>
      </c>
    </row>
    <row r="92" spans="2:30" x14ac:dyDescent="0.35">
      <c r="B92" s="7">
        <v>46109</v>
      </c>
      <c r="C92" s="10">
        <v>5000</v>
      </c>
      <c r="D92" s="1">
        <v>3857.6840000000002</v>
      </c>
      <c r="E92" s="11">
        <f t="shared" si="22"/>
        <v>-1142.3159999999998</v>
      </c>
      <c r="F92" s="15">
        <v>12000</v>
      </c>
      <c r="G92" s="1">
        <v>10511.677800000001</v>
      </c>
      <c r="H92" s="16">
        <f t="shared" si="23"/>
        <v>-1488.3221999999987</v>
      </c>
      <c r="I92" s="15">
        <f t="shared" si="24"/>
        <v>17000</v>
      </c>
      <c r="J92" s="1">
        <f t="shared" si="25"/>
        <v>14369.361800000002</v>
      </c>
      <c r="K92" s="17">
        <f t="shared" si="26"/>
        <v>-2630.6381999999985</v>
      </c>
      <c r="L92" s="9">
        <v>17500</v>
      </c>
      <c r="M92" s="11">
        <f t="shared" si="20"/>
        <v>8753.7096774193542</v>
      </c>
      <c r="N92" s="15">
        <v>10000</v>
      </c>
      <c r="O92" s="1">
        <v>7414.2318600000008</v>
      </c>
      <c r="P92" s="11">
        <f t="shared" si="27"/>
        <v>-2585.7681399999992</v>
      </c>
      <c r="Q92" s="15">
        <v>6000</v>
      </c>
      <c r="R92" s="1">
        <v>4927.5853200000001</v>
      </c>
      <c r="S92" s="22">
        <f t="shared" si="28"/>
        <v>-1072.4146799999999</v>
      </c>
      <c r="T92" s="37">
        <f t="shared" si="29"/>
        <v>16000</v>
      </c>
      <c r="U92" s="2">
        <f t="shared" si="36"/>
        <v>12341.817180000002</v>
      </c>
      <c r="V92" s="20">
        <f t="shared" si="37"/>
        <v>-3658.1828199999991</v>
      </c>
      <c r="W92" s="21">
        <v>17000</v>
      </c>
      <c r="X92" s="11">
        <f t="shared" si="21"/>
        <v>11851.032258064517</v>
      </c>
      <c r="Y92" s="69">
        <f t="shared" si="30"/>
        <v>33000</v>
      </c>
      <c r="Z92" s="1">
        <f t="shared" si="31"/>
        <v>26711.178980000004</v>
      </c>
      <c r="AA92" s="1">
        <f t="shared" si="32"/>
        <v>-6288.8210199999976</v>
      </c>
      <c r="AB92" s="70">
        <f t="shared" si="33"/>
        <v>34500</v>
      </c>
      <c r="AC92" s="1">
        <f t="shared" si="34"/>
        <v>20604.741935483871</v>
      </c>
      <c r="AD92" s="68">
        <f t="shared" si="35"/>
        <v>1.0454545454545454</v>
      </c>
    </row>
    <row r="93" spans="2:30" x14ac:dyDescent="0.35">
      <c r="B93" s="7">
        <v>46110</v>
      </c>
      <c r="C93" s="10">
        <v>5000</v>
      </c>
      <c r="D93" s="1">
        <v>3696.9472000000005</v>
      </c>
      <c r="E93" s="11">
        <f t="shared" si="22"/>
        <v>-1303.0527999999995</v>
      </c>
      <c r="F93" s="15">
        <v>12000</v>
      </c>
      <c r="G93" s="1">
        <v>11521.2978</v>
      </c>
      <c r="H93" s="16">
        <f t="shared" si="23"/>
        <v>-478.70219999999972</v>
      </c>
      <c r="I93" s="15">
        <f t="shared" si="24"/>
        <v>17000</v>
      </c>
      <c r="J93" s="1">
        <f t="shared" si="25"/>
        <v>15218.245000000001</v>
      </c>
      <c r="K93" s="17">
        <f t="shared" si="26"/>
        <v>-1781.7549999999992</v>
      </c>
      <c r="L93" s="9">
        <v>17500</v>
      </c>
      <c r="M93" s="11">
        <f t="shared" si="20"/>
        <v>8753.7096774193542</v>
      </c>
      <c r="N93" s="15">
        <v>10000</v>
      </c>
      <c r="O93" s="1">
        <v>7609.2800000000007</v>
      </c>
      <c r="P93" s="11">
        <f t="shared" si="27"/>
        <v>-2390.7199999999993</v>
      </c>
      <c r="Q93" s="15">
        <v>6000</v>
      </c>
      <c r="R93" s="1">
        <v>5295.1157999999996</v>
      </c>
      <c r="S93" s="22">
        <f t="shared" si="28"/>
        <v>-704.88420000000042</v>
      </c>
      <c r="T93" s="37">
        <f t="shared" si="29"/>
        <v>16000</v>
      </c>
      <c r="U93" s="2">
        <f t="shared" si="36"/>
        <v>12904.3958</v>
      </c>
      <c r="V93" s="20">
        <f t="shared" si="37"/>
        <v>-3095.6041999999998</v>
      </c>
      <c r="W93" s="21">
        <v>17000</v>
      </c>
      <c r="X93" s="11">
        <f t="shared" si="21"/>
        <v>11851.032258064517</v>
      </c>
      <c r="Y93" s="69">
        <f t="shared" si="30"/>
        <v>33000</v>
      </c>
      <c r="Z93" s="1">
        <f t="shared" si="31"/>
        <v>28122.640800000001</v>
      </c>
      <c r="AA93" s="1">
        <f t="shared" si="32"/>
        <v>-4877.359199999999</v>
      </c>
      <c r="AB93" s="70">
        <f t="shared" si="33"/>
        <v>34500</v>
      </c>
      <c r="AC93" s="1">
        <f t="shared" si="34"/>
        <v>20604.741935483871</v>
      </c>
      <c r="AD93" s="68">
        <f t="shared" si="35"/>
        <v>1.0454545454545454</v>
      </c>
    </row>
    <row r="94" spans="2:30" x14ac:dyDescent="0.35">
      <c r="B94" s="7">
        <v>46111</v>
      </c>
      <c r="C94" s="10">
        <v>5000</v>
      </c>
      <c r="D94" s="1">
        <v>3760.6528000000003</v>
      </c>
      <c r="E94" s="11">
        <f t="shared" si="22"/>
        <v>-1239.3471999999997</v>
      </c>
      <c r="F94" s="15">
        <v>12000</v>
      </c>
      <c r="G94" s="1">
        <v>11850.305200000001</v>
      </c>
      <c r="H94" s="16">
        <f t="shared" si="23"/>
        <v>-149.6947999999993</v>
      </c>
      <c r="I94" s="15">
        <f t="shared" si="24"/>
        <v>17000</v>
      </c>
      <c r="J94" s="1">
        <f t="shared" si="25"/>
        <v>15610.958000000001</v>
      </c>
      <c r="K94" s="17">
        <f t="shared" si="26"/>
        <v>-1389.041999999999</v>
      </c>
      <c r="L94" s="9">
        <v>17500</v>
      </c>
      <c r="M94" s="11">
        <f t="shared" si="20"/>
        <v>8753.7096774193542</v>
      </c>
      <c r="N94" s="15">
        <v>10000</v>
      </c>
      <c r="O94" s="1">
        <v>7429.4964</v>
      </c>
      <c r="P94" s="11">
        <f t="shared" si="27"/>
        <v>-2570.5036</v>
      </c>
      <c r="Q94" s="15">
        <v>6000</v>
      </c>
      <c r="R94" s="1">
        <v>5184.1907999999994</v>
      </c>
      <c r="S94" s="22">
        <f t="shared" si="28"/>
        <v>-815.8092000000006</v>
      </c>
      <c r="T94" s="37">
        <f t="shared" si="29"/>
        <v>16000</v>
      </c>
      <c r="U94" s="2">
        <f t="shared" si="36"/>
        <v>12613.6872</v>
      </c>
      <c r="V94" s="20">
        <f t="shared" si="37"/>
        <v>-3386.3128000000006</v>
      </c>
      <c r="W94" s="21">
        <v>17000</v>
      </c>
      <c r="X94" s="11">
        <f t="shared" si="21"/>
        <v>11851.032258064517</v>
      </c>
      <c r="Y94" s="69">
        <f t="shared" si="30"/>
        <v>33000</v>
      </c>
      <c r="Z94" s="1">
        <f t="shared" si="31"/>
        <v>28224.645199999999</v>
      </c>
      <c r="AA94" s="1">
        <f t="shared" si="32"/>
        <v>-4775.3547999999992</v>
      </c>
      <c r="AB94" s="70">
        <f t="shared" si="33"/>
        <v>34500</v>
      </c>
      <c r="AC94" s="1">
        <f t="shared" si="34"/>
        <v>20604.741935483871</v>
      </c>
      <c r="AD94" s="68">
        <f t="shared" si="35"/>
        <v>1.0454545454545454</v>
      </c>
    </row>
    <row r="95" spans="2:30" x14ac:dyDescent="0.35">
      <c r="B95" s="7">
        <v>46112</v>
      </c>
      <c r="C95" s="10">
        <v>5000</v>
      </c>
      <c r="D95" s="1">
        <v>3645.3934999999997</v>
      </c>
      <c r="E95" s="11">
        <f t="shared" si="22"/>
        <v>-1354.6065000000003</v>
      </c>
      <c r="F95" s="15">
        <v>12000</v>
      </c>
      <c r="G95" s="1">
        <v>12383.911400000001</v>
      </c>
      <c r="H95" s="16">
        <f t="shared" si="23"/>
        <v>383.91140000000087</v>
      </c>
      <c r="I95" s="15">
        <f t="shared" si="24"/>
        <v>17000</v>
      </c>
      <c r="J95" s="1">
        <f t="shared" si="25"/>
        <v>16029.304900000001</v>
      </c>
      <c r="K95" s="17">
        <f t="shared" si="26"/>
        <v>-970.69509999999946</v>
      </c>
      <c r="L95" s="9">
        <v>17500</v>
      </c>
      <c r="M95" s="11">
        <f t="shared" si="20"/>
        <v>8753.7096774193542</v>
      </c>
      <c r="N95" s="15">
        <v>10000</v>
      </c>
      <c r="O95" s="1">
        <v>7433.7451299999993</v>
      </c>
      <c r="P95" s="11">
        <f t="shared" si="27"/>
        <v>-2566.2548700000007</v>
      </c>
      <c r="Q95" s="15">
        <v>6000</v>
      </c>
      <c r="R95" s="1">
        <v>6284.1834000000008</v>
      </c>
      <c r="S95" s="22">
        <f t="shared" si="28"/>
        <v>284.1834000000008</v>
      </c>
      <c r="T95" s="37">
        <f t="shared" si="29"/>
        <v>16000</v>
      </c>
      <c r="U95" s="2">
        <f t="shared" si="36"/>
        <v>13717.928530000001</v>
      </c>
      <c r="V95" s="20">
        <f t="shared" si="37"/>
        <v>-2282.0714699999999</v>
      </c>
      <c r="W95" s="21">
        <v>17000</v>
      </c>
      <c r="X95" s="11">
        <f t="shared" si="21"/>
        <v>11851.032258064517</v>
      </c>
      <c r="Y95" s="69">
        <f t="shared" si="30"/>
        <v>33000</v>
      </c>
      <c r="Z95" s="1">
        <f t="shared" si="31"/>
        <v>29747.23343</v>
      </c>
      <c r="AA95" s="1">
        <f t="shared" si="32"/>
        <v>-3252.7665699999993</v>
      </c>
      <c r="AB95" s="70">
        <f t="shared" si="33"/>
        <v>34500</v>
      </c>
      <c r="AC95" s="1">
        <f t="shared" si="34"/>
        <v>20604.741935483871</v>
      </c>
      <c r="AD95" s="68">
        <f t="shared" si="35"/>
        <v>1.0454545454545454</v>
      </c>
    </row>
    <row r="96" spans="2:30" x14ac:dyDescent="0.35">
      <c r="B96" s="7">
        <v>46113</v>
      </c>
      <c r="C96" s="10">
        <v>5000</v>
      </c>
      <c r="D96" s="1">
        <v>3575.3150999999998</v>
      </c>
      <c r="E96" s="11">
        <f t="shared" si="22"/>
        <v>-1424.6849000000002</v>
      </c>
      <c r="F96" s="15">
        <v>15000</v>
      </c>
      <c r="G96" s="1">
        <v>12567.309650000001</v>
      </c>
      <c r="H96" s="16">
        <f t="shared" si="23"/>
        <v>-2432.6903499999989</v>
      </c>
      <c r="I96" s="15">
        <f t="shared" si="24"/>
        <v>20000</v>
      </c>
      <c r="J96" s="1">
        <f t="shared" si="25"/>
        <v>16142.624750000001</v>
      </c>
      <c r="K96" s="17">
        <f t="shared" si="26"/>
        <v>-3857.3752499999991</v>
      </c>
      <c r="L96" s="9">
        <v>23000</v>
      </c>
      <c r="M96" s="1">
        <f>316161/30</f>
        <v>10538.7</v>
      </c>
      <c r="N96" s="15">
        <v>13000</v>
      </c>
      <c r="O96" s="1">
        <v>7486.6332000000002</v>
      </c>
      <c r="P96" s="11">
        <f t="shared" si="27"/>
        <v>-5513.3667999999998</v>
      </c>
      <c r="Q96" s="15">
        <v>8000</v>
      </c>
      <c r="R96" s="1">
        <v>7430.5935000000009</v>
      </c>
      <c r="S96" s="22">
        <f t="shared" si="28"/>
        <v>-569.40649999999914</v>
      </c>
      <c r="T96" s="37">
        <f t="shared" si="29"/>
        <v>21000</v>
      </c>
      <c r="U96" s="2">
        <f t="shared" si="36"/>
        <v>14917.226700000001</v>
      </c>
      <c r="V96" s="20">
        <f t="shared" si="37"/>
        <v>-6082.7732999999989</v>
      </c>
      <c r="W96" s="21">
        <v>20500</v>
      </c>
      <c r="X96" s="11">
        <f>397837/30</f>
        <v>13261.233333333334</v>
      </c>
      <c r="Y96" s="69">
        <f t="shared" si="30"/>
        <v>41000</v>
      </c>
      <c r="Z96" s="1">
        <f t="shared" si="31"/>
        <v>31059.851450000002</v>
      </c>
      <c r="AA96" s="1">
        <f t="shared" si="32"/>
        <v>-9940.1485499999981</v>
      </c>
      <c r="AB96" s="70">
        <f t="shared" si="33"/>
        <v>43500</v>
      </c>
      <c r="AC96" s="1">
        <f t="shared" si="34"/>
        <v>23799.933333333334</v>
      </c>
      <c r="AD96" s="68">
        <f t="shared" si="35"/>
        <v>1.0609756097560976</v>
      </c>
    </row>
    <row r="97" spans="2:30" x14ac:dyDescent="0.35">
      <c r="B97" s="7">
        <v>46114</v>
      </c>
      <c r="C97" s="10">
        <v>5000</v>
      </c>
      <c r="D97" s="1">
        <v>3604.6730999999995</v>
      </c>
      <c r="E97" s="11">
        <f t="shared" si="22"/>
        <v>-1395.3269000000005</v>
      </c>
      <c r="F97" s="15">
        <v>15000</v>
      </c>
      <c r="G97" s="1">
        <v>12106.3117</v>
      </c>
      <c r="H97" s="16">
        <f t="shared" si="23"/>
        <v>-2893.6882999999998</v>
      </c>
      <c r="I97" s="15">
        <f t="shared" si="24"/>
        <v>20000</v>
      </c>
      <c r="J97" s="1">
        <f t="shared" si="25"/>
        <v>15710.9848</v>
      </c>
      <c r="K97" s="17">
        <f t="shared" si="26"/>
        <v>-4289.0151999999998</v>
      </c>
      <c r="L97" s="9">
        <v>23000</v>
      </c>
      <c r="M97" s="1">
        <f t="shared" ref="M97:M125" si="38">316161/30</f>
        <v>10538.7</v>
      </c>
      <c r="N97" s="15">
        <v>13000</v>
      </c>
      <c r="O97" s="1">
        <v>7648.6993499999999</v>
      </c>
      <c r="P97" s="11">
        <f t="shared" si="27"/>
        <v>-5351.3006500000001</v>
      </c>
      <c r="Q97" s="15">
        <v>8000</v>
      </c>
      <c r="R97" s="1">
        <v>7034.3207999999995</v>
      </c>
      <c r="S97" s="22">
        <f t="shared" si="28"/>
        <v>-965.67920000000049</v>
      </c>
      <c r="T97" s="37">
        <f t="shared" si="29"/>
        <v>21000</v>
      </c>
      <c r="U97" s="2">
        <f t="shared" si="36"/>
        <v>14683.02015</v>
      </c>
      <c r="V97" s="20">
        <f t="shared" si="37"/>
        <v>-6316.9798500000006</v>
      </c>
      <c r="W97" s="21">
        <v>20500</v>
      </c>
      <c r="X97" s="11">
        <f t="shared" ref="X97:X125" si="39">397837/30</f>
        <v>13261.233333333334</v>
      </c>
      <c r="Y97" s="69">
        <f t="shared" si="30"/>
        <v>41000</v>
      </c>
      <c r="Z97" s="1">
        <f t="shared" si="31"/>
        <v>30394.004950000002</v>
      </c>
      <c r="AA97" s="1">
        <f t="shared" si="32"/>
        <v>-10605.995050000001</v>
      </c>
      <c r="AB97" s="70">
        <f t="shared" si="33"/>
        <v>43500</v>
      </c>
      <c r="AC97" s="1">
        <f t="shared" si="34"/>
        <v>23799.933333333334</v>
      </c>
      <c r="AD97" s="68">
        <f t="shared" si="35"/>
        <v>1.0609756097560976</v>
      </c>
    </row>
    <row r="98" spans="2:30" x14ac:dyDescent="0.35">
      <c r="B98" s="7">
        <v>46115</v>
      </c>
      <c r="C98" s="10">
        <v>5000</v>
      </c>
      <c r="D98" s="1">
        <v>3338.424</v>
      </c>
      <c r="E98" s="11">
        <f t="shared" si="22"/>
        <v>-1661.576</v>
      </c>
      <c r="F98" s="15">
        <v>15000</v>
      </c>
      <c r="G98" s="1">
        <v>12329.895199999999</v>
      </c>
      <c r="H98" s="16">
        <f t="shared" si="23"/>
        <v>-2670.104800000001</v>
      </c>
      <c r="I98" s="15">
        <f t="shared" si="24"/>
        <v>20000</v>
      </c>
      <c r="J98" s="1">
        <f t="shared" si="25"/>
        <v>15668.319199999998</v>
      </c>
      <c r="K98" s="17">
        <f t="shared" si="26"/>
        <v>-4331.680800000001</v>
      </c>
      <c r="L98" s="9">
        <v>23000</v>
      </c>
      <c r="M98" s="1">
        <f t="shared" si="38"/>
        <v>10538.7</v>
      </c>
      <c r="N98" s="15">
        <v>13000</v>
      </c>
      <c r="O98" s="1">
        <v>8566.0888599999998</v>
      </c>
      <c r="P98" s="11">
        <f t="shared" si="27"/>
        <v>-4433.9111400000002</v>
      </c>
      <c r="Q98" s="15">
        <v>8000</v>
      </c>
      <c r="R98" s="1">
        <v>7498.4909699999998</v>
      </c>
      <c r="S98" s="22">
        <f t="shared" si="28"/>
        <v>-501.50903000000017</v>
      </c>
      <c r="T98" s="37">
        <f t="shared" si="29"/>
        <v>21000</v>
      </c>
      <c r="U98" s="2">
        <f t="shared" si="36"/>
        <v>16064.579829999999</v>
      </c>
      <c r="V98" s="20">
        <f t="shared" si="37"/>
        <v>-4935.4201700000003</v>
      </c>
      <c r="W98" s="21">
        <v>20500</v>
      </c>
      <c r="X98" s="11">
        <f t="shared" si="39"/>
        <v>13261.233333333334</v>
      </c>
      <c r="Y98" s="69">
        <f t="shared" si="30"/>
        <v>41000</v>
      </c>
      <c r="Z98" s="1">
        <f t="shared" si="31"/>
        <v>31732.899029999997</v>
      </c>
      <c r="AA98" s="1">
        <f t="shared" si="32"/>
        <v>-9267.1009700000013</v>
      </c>
      <c r="AB98" s="70">
        <f t="shared" si="33"/>
        <v>43500</v>
      </c>
      <c r="AC98" s="1">
        <f t="shared" si="34"/>
        <v>23799.933333333334</v>
      </c>
      <c r="AD98" s="68">
        <f t="shared" si="35"/>
        <v>1.0609756097560976</v>
      </c>
    </row>
    <row r="99" spans="2:30" x14ac:dyDescent="0.35">
      <c r="B99" s="7">
        <v>46116</v>
      </c>
      <c r="C99" s="10">
        <v>5000</v>
      </c>
      <c r="D99" s="1">
        <v>3001.3194999999996</v>
      </c>
      <c r="E99" s="11">
        <f t="shared" si="22"/>
        <v>-1998.6805000000004</v>
      </c>
      <c r="F99" s="15">
        <v>15000</v>
      </c>
      <c r="G99" s="1">
        <v>12359.510759999997</v>
      </c>
      <c r="H99" s="16">
        <f t="shared" si="23"/>
        <v>-2640.4892400000026</v>
      </c>
      <c r="I99" s="15">
        <f t="shared" si="24"/>
        <v>20000</v>
      </c>
      <c r="J99" s="1">
        <f t="shared" si="25"/>
        <v>15360.830259999997</v>
      </c>
      <c r="K99" s="17">
        <f t="shared" si="26"/>
        <v>-4639.169740000003</v>
      </c>
      <c r="L99" s="9">
        <v>23000</v>
      </c>
      <c r="M99" s="1">
        <f t="shared" si="38"/>
        <v>10538.7</v>
      </c>
      <c r="N99" s="15">
        <v>13000</v>
      </c>
      <c r="O99" s="1">
        <v>8521.7572599999985</v>
      </c>
      <c r="P99" s="11">
        <f t="shared" si="27"/>
        <v>-4478.2427400000015</v>
      </c>
      <c r="Q99" s="15">
        <v>8000</v>
      </c>
      <c r="R99" s="1">
        <v>6914.2093999999997</v>
      </c>
      <c r="S99" s="22">
        <f t="shared" si="28"/>
        <v>-1085.7906000000003</v>
      </c>
      <c r="T99" s="37">
        <f t="shared" si="29"/>
        <v>21000</v>
      </c>
      <c r="U99" s="2">
        <f t="shared" si="36"/>
        <v>15435.966659999998</v>
      </c>
      <c r="V99" s="20">
        <f t="shared" si="37"/>
        <v>-5564.0333400000018</v>
      </c>
      <c r="W99" s="21">
        <v>20500</v>
      </c>
      <c r="X99" s="11">
        <f t="shared" si="39"/>
        <v>13261.233333333334</v>
      </c>
      <c r="Y99" s="69">
        <f t="shared" si="30"/>
        <v>41000</v>
      </c>
      <c r="Z99" s="1">
        <f t="shared" si="31"/>
        <v>30796.796919999993</v>
      </c>
      <c r="AA99" s="1">
        <f t="shared" si="32"/>
        <v>-10203.203080000005</v>
      </c>
      <c r="AB99" s="70">
        <f t="shared" si="33"/>
        <v>43500</v>
      </c>
      <c r="AC99" s="1">
        <f t="shared" si="34"/>
        <v>23799.933333333334</v>
      </c>
      <c r="AD99" s="68">
        <f t="shared" si="35"/>
        <v>1.0609756097560976</v>
      </c>
    </row>
    <row r="100" spans="2:30" x14ac:dyDescent="0.35">
      <c r="B100" s="7">
        <v>46117</v>
      </c>
      <c r="C100" s="10">
        <v>5000</v>
      </c>
      <c r="D100" s="1">
        <v>2942.5574999999999</v>
      </c>
      <c r="E100" s="11">
        <f t="shared" si="22"/>
        <v>-2057.4425000000001</v>
      </c>
      <c r="F100" s="15">
        <v>15000</v>
      </c>
      <c r="G100" s="1">
        <v>12235.495359999997</v>
      </c>
      <c r="H100" s="16">
        <f t="shared" si="23"/>
        <v>-2764.5046400000028</v>
      </c>
      <c r="I100" s="15">
        <f t="shared" si="24"/>
        <v>20000</v>
      </c>
      <c r="J100" s="1">
        <f t="shared" si="25"/>
        <v>15178.052859999996</v>
      </c>
      <c r="K100" s="17">
        <f t="shared" si="26"/>
        <v>-4821.9471400000029</v>
      </c>
      <c r="L100" s="9">
        <v>23000</v>
      </c>
      <c r="M100" s="1">
        <f t="shared" si="38"/>
        <v>10538.7</v>
      </c>
      <c r="N100" s="15">
        <v>13000</v>
      </c>
      <c r="O100" s="1">
        <v>8250.7435399999995</v>
      </c>
      <c r="P100" s="11">
        <f t="shared" si="27"/>
        <v>-4749.2564600000005</v>
      </c>
      <c r="Q100" s="15">
        <v>8000</v>
      </c>
      <c r="R100" s="1">
        <v>7106.9724000000006</v>
      </c>
      <c r="S100" s="22">
        <f t="shared" si="28"/>
        <v>-893.02759999999944</v>
      </c>
      <c r="T100" s="37">
        <f t="shared" si="29"/>
        <v>21000</v>
      </c>
      <c r="U100" s="2">
        <f t="shared" si="36"/>
        <v>15357.71594</v>
      </c>
      <c r="V100" s="20">
        <f t="shared" si="37"/>
        <v>-5642.28406</v>
      </c>
      <c r="W100" s="21">
        <v>20500</v>
      </c>
      <c r="X100" s="11">
        <f t="shared" si="39"/>
        <v>13261.233333333334</v>
      </c>
      <c r="Y100" s="69">
        <f t="shared" si="30"/>
        <v>41000</v>
      </c>
      <c r="Z100" s="1">
        <f t="shared" si="31"/>
        <v>30535.768799999998</v>
      </c>
      <c r="AA100" s="1">
        <f t="shared" si="32"/>
        <v>-10464.231200000002</v>
      </c>
      <c r="AB100" s="70">
        <f t="shared" si="33"/>
        <v>43500</v>
      </c>
      <c r="AC100" s="1">
        <f t="shared" si="34"/>
        <v>23799.933333333334</v>
      </c>
      <c r="AD100" s="68">
        <f t="shared" si="35"/>
        <v>1.0609756097560976</v>
      </c>
    </row>
    <row r="101" spans="2:30" x14ac:dyDescent="0.35">
      <c r="B101" s="7">
        <v>46118</v>
      </c>
      <c r="C101" s="10">
        <v>5000</v>
      </c>
      <c r="D101" s="1">
        <v>3008.5716000000002</v>
      </c>
      <c r="E101" s="11">
        <f t="shared" si="22"/>
        <v>-1991.4283999999998</v>
      </c>
      <c r="F101" s="15">
        <v>15000</v>
      </c>
      <c r="G101" s="1">
        <v>11843.183999999999</v>
      </c>
      <c r="H101" s="16">
        <f t="shared" si="23"/>
        <v>-3156.8160000000007</v>
      </c>
      <c r="I101" s="15">
        <f t="shared" si="24"/>
        <v>20000</v>
      </c>
      <c r="J101" s="1">
        <f t="shared" si="25"/>
        <v>14851.7556</v>
      </c>
      <c r="K101" s="17">
        <f t="shared" si="26"/>
        <v>-5148.2444000000005</v>
      </c>
      <c r="L101" s="9">
        <v>23000</v>
      </c>
      <c r="M101" s="1">
        <f t="shared" si="38"/>
        <v>10538.7</v>
      </c>
      <c r="N101" s="15">
        <v>13000</v>
      </c>
      <c r="O101" s="1">
        <v>7623.7094999999999</v>
      </c>
      <c r="P101" s="11">
        <f t="shared" si="27"/>
        <v>-5376.2905000000001</v>
      </c>
      <c r="Q101" s="15">
        <v>8000</v>
      </c>
      <c r="R101" s="1">
        <v>6850.5808800000013</v>
      </c>
      <c r="S101" s="22">
        <f t="shared" si="28"/>
        <v>-1149.4191199999987</v>
      </c>
      <c r="T101" s="37">
        <f t="shared" si="29"/>
        <v>21000</v>
      </c>
      <c r="U101" s="2">
        <f t="shared" si="36"/>
        <v>14474.290380000002</v>
      </c>
      <c r="V101" s="20">
        <f t="shared" si="37"/>
        <v>-6525.7096199999987</v>
      </c>
      <c r="W101" s="21">
        <v>20500</v>
      </c>
      <c r="X101" s="11">
        <f t="shared" si="39"/>
        <v>13261.233333333334</v>
      </c>
      <c r="Y101" s="69">
        <f t="shared" si="30"/>
        <v>41000</v>
      </c>
      <c r="Z101" s="1">
        <f t="shared" si="31"/>
        <v>29326.045980000003</v>
      </c>
      <c r="AA101" s="1">
        <f t="shared" si="32"/>
        <v>-11673.954019999999</v>
      </c>
      <c r="AB101" s="70">
        <f t="shared" si="33"/>
        <v>43500</v>
      </c>
      <c r="AC101" s="1">
        <f t="shared" si="34"/>
        <v>23799.933333333334</v>
      </c>
      <c r="AD101" s="68">
        <f t="shared" si="35"/>
        <v>1.0609756097560976</v>
      </c>
    </row>
    <row r="102" spans="2:30" x14ac:dyDescent="0.35">
      <c r="B102" s="7">
        <v>46119</v>
      </c>
      <c r="C102" s="10">
        <v>5000</v>
      </c>
      <c r="D102" s="1">
        <v>2898.72</v>
      </c>
      <c r="E102" s="11">
        <f t="shared" si="22"/>
        <v>-2101.2800000000002</v>
      </c>
      <c r="F102" s="15">
        <v>15000</v>
      </c>
      <c r="G102" s="1">
        <v>12201.885759999999</v>
      </c>
      <c r="H102" s="16">
        <f t="shared" si="23"/>
        <v>-2798.1142400000008</v>
      </c>
      <c r="I102" s="15">
        <f t="shared" si="24"/>
        <v>20000</v>
      </c>
      <c r="J102" s="1">
        <f t="shared" si="25"/>
        <v>15100.605759999999</v>
      </c>
      <c r="K102" s="17">
        <f t="shared" si="26"/>
        <v>-4899.3942400000014</v>
      </c>
      <c r="L102" s="9">
        <v>23000</v>
      </c>
      <c r="M102" s="1">
        <f t="shared" si="38"/>
        <v>10538.7</v>
      </c>
      <c r="N102" s="15">
        <v>13000</v>
      </c>
      <c r="O102" s="1">
        <v>7441.3596800000005</v>
      </c>
      <c r="P102" s="11">
        <f t="shared" si="27"/>
        <v>-5558.6403199999995</v>
      </c>
      <c r="Q102" s="15">
        <v>8000</v>
      </c>
      <c r="R102" s="1">
        <v>6806.2805600000002</v>
      </c>
      <c r="S102" s="22">
        <f t="shared" si="28"/>
        <v>-1193.7194399999998</v>
      </c>
      <c r="T102" s="37">
        <f t="shared" si="29"/>
        <v>21000</v>
      </c>
      <c r="U102" s="2">
        <f t="shared" si="36"/>
        <v>14247.640240000001</v>
      </c>
      <c r="V102" s="20">
        <f t="shared" si="37"/>
        <v>-6752.3597599999994</v>
      </c>
      <c r="W102" s="21">
        <v>20500</v>
      </c>
      <c r="X102" s="11">
        <f t="shared" si="39"/>
        <v>13261.233333333334</v>
      </c>
      <c r="Y102" s="69">
        <f t="shared" si="30"/>
        <v>41000</v>
      </c>
      <c r="Z102" s="1">
        <f t="shared" si="31"/>
        <v>29348.245999999999</v>
      </c>
      <c r="AA102" s="1">
        <f t="shared" si="32"/>
        <v>-11651.754000000001</v>
      </c>
      <c r="AB102" s="70">
        <f t="shared" si="33"/>
        <v>43500</v>
      </c>
      <c r="AC102" s="1">
        <f t="shared" si="34"/>
        <v>23799.933333333334</v>
      </c>
      <c r="AD102" s="68">
        <f t="shared" si="35"/>
        <v>1.0609756097560976</v>
      </c>
    </row>
    <row r="103" spans="2:30" x14ac:dyDescent="0.35">
      <c r="B103" s="7">
        <v>46120</v>
      </c>
      <c r="C103" s="10">
        <v>5000</v>
      </c>
      <c r="D103" s="1">
        <v>2917.3914000000004</v>
      </c>
      <c r="E103" s="11">
        <f t="shared" si="22"/>
        <v>-2082.6085999999996</v>
      </c>
      <c r="F103" s="15">
        <v>15000</v>
      </c>
      <c r="G103" s="1">
        <v>13523.64155</v>
      </c>
      <c r="H103" s="16">
        <f t="shared" si="23"/>
        <v>-1476.3584499999997</v>
      </c>
      <c r="I103" s="15">
        <f t="shared" si="24"/>
        <v>20000</v>
      </c>
      <c r="J103" s="1">
        <f t="shared" si="25"/>
        <v>16441.032950000001</v>
      </c>
      <c r="K103" s="17">
        <f t="shared" si="26"/>
        <v>-3558.9670499999993</v>
      </c>
      <c r="L103" s="9">
        <v>23000</v>
      </c>
      <c r="M103" s="1">
        <f t="shared" si="38"/>
        <v>10538.7</v>
      </c>
      <c r="N103" s="15">
        <v>13000</v>
      </c>
      <c r="O103" s="1">
        <v>7038.0431999999992</v>
      </c>
      <c r="P103" s="11">
        <f t="shared" si="27"/>
        <v>-5961.9568000000008</v>
      </c>
      <c r="Q103" s="15">
        <v>8000</v>
      </c>
      <c r="R103" s="1">
        <v>7237.0864000000001</v>
      </c>
      <c r="S103" s="22">
        <f t="shared" si="28"/>
        <v>-762.91359999999986</v>
      </c>
      <c r="T103" s="37">
        <f t="shared" si="29"/>
        <v>21000</v>
      </c>
      <c r="U103" s="2">
        <f t="shared" si="36"/>
        <v>14275.1296</v>
      </c>
      <c r="V103" s="20">
        <f t="shared" si="37"/>
        <v>-6724.8704000000007</v>
      </c>
      <c r="W103" s="21">
        <v>20500</v>
      </c>
      <c r="X103" s="11">
        <f t="shared" si="39"/>
        <v>13261.233333333334</v>
      </c>
      <c r="Y103" s="69">
        <f t="shared" si="30"/>
        <v>41000</v>
      </c>
      <c r="Z103" s="1">
        <f t="shared" si="31"/>
        <v>30716.162550000001</v>
      </c>
      <c r="AA103" s="1">
        <f t="shared" si="32"/>
        <v>-10283.837449999999</v>
      </c>
      <c r="AB103" s="70">
        <f t="shared" si="33"/>
        <v>43500</v>
      </c>
      <c r="AC103" s="1">
        <f t="shared" si="34"/>
        <v>23799.933333333334</v>
      </c>
      <c r="AD103" s="68">
        <f t="shared" si="35"/>
        <v>1.0609756097560976</v>
      </c>
    </row>
    <row r="104" spans="2:30" x14ac:dyDescent="0.35">
      <c r="B104" s="7">
        <v>46121</v>
      </c>
      <c r="C104" s="10">
        <v>5000</v>
      </c>
      <c r="D104" s="1">
        <v>2933.1316000000002</v>
      </c>
      <c r="E104" s="11">
        <f t="shared" si="22"/>
        <v>-2066.8683999999998</v>
      </c>
      <c r="F104" s="15">
        <v>15000</v>
      </c>
      <c r="G104" s="1">
        <v>13562.73155</v>
      </c>
      <c r="H104" s="16">
        <f t="shared" si="23"/>
        <v>-1437.2684499999996</v>
      </c>
      <c r="I104" s="15">
        <f t="shared" si="24"/>
        <v>20000</v>
      </c>
      <c r="J104" s="1">
        <f t="shared" si="25"/>
        <v>16495.863150000001</v>
      </c>
      <c r="K104" s="17">
        <f t="shared" si="26"/>
        <v>-3504.1368499999994</v>
      </c>
      <c r="L104" s="9">
        <v>23000</v>
      </c>
      <c r="M104" s="1">
        <f t="shared" si="38"/>
        <v>10538.7</v>
      </c>
      <c r="N104" s="15">
        <v>13000</v>
      </c>
      <c r="O104" s="1">
        <v>7577.2625400000006</v>
      </c>
      <c r="P104" s="11">
        <f t="shared" si="27"/>
        <v>-5422.7374599999994</v>
      </c>
      <c r="Q104" s="15">
        <v>8000</v>
      </c>
      <c r="R104" s="1">
        <v>6944.7831299999998</v>
      </c>
      <c r="S104" s="22">
        <f t="shared" si="28"/>
        <v>-1055.2168700000002</v>
      </c>
      <c r="T104" s="37">
        <f t="shared" si="29"/>
        <v>21000</v>
      </c>
      <c r="U104" s="2">
        <f t="shared" si="36"/>
        <v>14522.04567</v>
      </c>
      <c r="V104" s="20">
        <f t="shared" si="37"/>
        <v>-6477.9543299999996</v>
      </c>
      <c r="W104" s="21">
        <v>20500</v>
      </c>
      <c r="X104" s="11">
        <f t="shared" si="39"/>
        <v>13261.233333333334</v>
      </c>
      <c r="Y104" s="69">
        <f t="shared" si="30"/>
        <v>41000</v>
      </c>
      <c r="Z104" s="1">
        <f t="shared" si="31"/>
        <v>31017.908820000001</v>
      </c>
      <c r="AA104" s="1">
        <f t="shared" si="32"/>
        <v>-9982.0911799999994</v>
      </c>
      <c r="AB104" s="70">
        <f t="shared" si="33"/>
        <v>43500</v>
      </c>
      <c r="AC104" s="1">
        <f t="shared" si="34"/>
        <v>23799.933333333334</v>
      </c>
      <c r="AD104" s="68">
        <f t="shared" si="35"/>
        <v>1.0609756097560976</v>
      </c>
    </row>
    <row r="105" spans="2:30" x14ac:dyDescent="0.35">
      <c r="B105" s="7">
        <v>46122</v>
      </c>
      <c r="C105" s="10">
        <v>5000</v>
      </c>
      <c r="D105" s="1">
        <v>2743.6870000000004</v>
      </c>
      <c r="E105" s="11">
        <f t="shared" si="22"/>
        <v>-2256.3129999999996</v>
      </c>
      <c r="F105" s="15">
        <v>15000</v>
      </c>
      <c r="G105" s="1">
        <v>12123.111999999999</v>
      </c>
      <c r="H105" s="16">
        <f t="shared" si="23"/>
        <v>-2876.8880000000008</v>
      </c>
      <c r="I105" s="15">
        <f t="shared" si="24"/>
        <v>20000</v>
      </c>
      <c r="J105" s="1">
        <f t="shared" si="25"/>
        <v>14866.798999999999</v>
      </c>
      <c r="K105" s="17">
        <f t="shared" si="26"/>
        <v>-5133.2010000000009</v>
      </c>
      <c r="L105" s="9">
        <v>23000</v>
      </c>
      <c r="M105" s="1">
        <f t="shared" si="38"/>
        <v>10538.7</v>
      </c>
      <c r="N105" s="15">
        <v>13000</v>
      </c>
      <c r="O105" s="1">
        <v>7967.6196</v>
      </c>
      <c r="P105" s="11">
        <f t="shared" si="27"/>
        <v>-5032.3804</v>
      </c>
      <c r="Q105" s="15">
        <v>8000</v>
      </c>
      <c r="R105" s="1">
        <v>7065.9704700000002</v>
      </c>
      <c r="S105" s="22">
        <f t="shared" si="28"/>
        <v>-934.0295299999998</v>
      </c>
      <c r="T105" s="37">
        <f t="shared" si="29"/>
        <v>21000</v>
      </c>
      <c r="U105" s="2">
        <f t="shared" si="36"/>
        <v>15033.59007</v>
      </c>
      <c r="V105" s="20">
        <f t="shared" si="37"/>
        <v>-5966.4099299999998</v>
      </c>
      <c r="W105" s="21">
        <v>20500</v>
      </c>
      <c r="X105" s="11">
        <f t="shared" si="39"/>
        <v>13261.233333333334</v>
      </c>
      <c r="Y105" s="69">
        <f t="shared" si="30"/>
        <v>41000</v>
      </c>
      <c r="Z105" s="1">
        <f t="shared" si="31"/>
        <v>29900.389069999997</v>
      </c>
      <c r="AA105" s="1">
        <f t="shared" si="32"/>
        <v>-11099.610930000001</v>
      </c>
      <c r="AB105" s="70">
        <f t="shared" si="33"/>
        <v>43500</v>
      </c>
      <c r="AC105" s="1">
        <f t="shared" si="34"/>
        <v>23799.933333333334</v>
      </c>
      <c r="AD105" s="68">
        <f t="shared" si="35"/>
        <v>1.0609756097560976</v>
      </c>
    </row>
    <row r="106" spans="2:30" x14ac:dyDescent="0.35">
      <c r="B106" s="7">
        <v>46123</v>
      </c>
      <c r="C106" s="10">
        <v>5000</v>
      </c>
      <c r="D106" s="1">
        <v>2421.2159999999999</v>
      </c>
      <c r="E106" s="11">
        <f t="shared" si="22"/>
        <v>-2578.7840000000001</v>
      </c>
      <c r="F106" s="15">
        <v>15000</v>
      </c>
      <c r="G106" s="1">
        <v>12699.387900000002</v>
      </c>
      <c r="H106" s="16">
        <f t="shared" si="23"/>
        <v>-2300.6120999999985</v>
      </c>
      <c r="I106" s="15">
        <f t="shared" si="24"/>
        <v>20000</v>
      </c>
      <c r="J106" s="1">
        <f t="shared" si="25"/>
        <v>15120.603900000002</v>
      </c>
      <c r="K106" s="17">
        <f t="shared" si="26"/>
        <v>-4879.3960999999981</v>
      </c>
      <c r="L106" s="9">
        <v>23000</v>
      </c>
      <c r="M106" s="1">
        <f t="shared" si="38"/>
        <v>10538.7</v>
      </c>
      <c r="N106" s="15">
        <v>13000</v>
      </c>
      <c r="O106" s="1">
        <v>8040.0830400000013</v>
      </c>
      <c r="P106" s="11">
        <f t="shared" si="27"/>
        <v>-4959.9169599999987</v>
      </c>
      <c r="Q106" s="15">
        <v>8000</v>
      </c>
      <c r="R106" s="1">
        <v>6882.3826199999994</v>
      </c>
      <c r="S106" s="22">
        <f t="shared" si="28"/>
        <v>-1117.6173800000006</v>
      </c>
      <c r="T106" s="37">
        <f t="shared" si="29"/>
        <v>21000</v>
      </c>
      <c r="U106" s="2">
        <f t="shared" si="36"/>
        <v>14922.465660000002</v>
      </c>
      <c r="V106" s="20">
        <f t="shared" si="37"/>
        <v>-6077.5343399999992</v>
      </c>
      <c r="W106" s="21">
        <v>20500</v>
      </c>
      <c r="X106" s="11">
        <f t="shared" si="39"/>
        <v>13261.233333333334</v>
      </c>
      <c r="Y106" s="69">
        <f t="shared" si="30"/>
        <v>41000</v>
      </c>
      <c r="Z106" s="1">
        <f t="shared" si="31"/>
        <v>30043.069560000004</v>
      </c>
      <c r="AA106" s="1">
        <f t="shared" si="32"/>
        <v>-10956.930439999996</v>
      </c>
      <c r="AB106" s="70">
        <f t="shared" si="33"/>
        <v>43500</v>
      </c>
      <c r="AC106" s="1">
        <f t="shared" si="34"/>
        <v>23799.933333333334</v>
      </c>
      <c r="AD106" s="68">
        <f t="shared" si="35"/>
        <v>1.0609756097560976</v>
      </c>
    </row>
    <row r="107" spans="2:30" x14ac:dyDescent="0.35">
      <c r="B107" s="7">
        <v>46124</v>
      </c>
      <c r="C107" s="10">
        <v>5000</v>
      </c>
      <c r="D107" s="1">
        <v>2810.9159999999997</v>
      </c>
      <c r="E107" s="11">
        <f t="shared" si="22"/>
        <v>-2189.0840000000003</v>
      </c>
      <c r="F107" s="15">
        <v>15000</v>
      </c>
      <c r="G107" s="1">
        <v>12830.232599999999</v>
      </c>
      <c r="H107" s="16">
        <f t="shared" si="23"/>
        <v>-2169.7674000000006</v>
      </c>
      <c r="I107" s="15">
        <f t="shared" si="24"/>
        <v>20000</v>
      </c>
      <c r="J107" s="1">
        <f t="shared" si="25"/>
        <v>15641.148599999999</v>
      </c>
      <c r="K107" s="17">
        <f t="shared" si="26"/>
        <v>-4358.8514000000014</v>
      </c>
      <c r="L107" s="9">
        <v>23000</v>
      </c>
      <c r="M107" s="1">
        <f t="shared" si="38"/>
        <v>10538.7</v>
      </c>
      <c r="N107" s="15">
        <v>13000</v>
      </c>
      <c r="O107" s="1">
        <v>8007.4711499999994</v>
      </c>
      <c r="P107" s="11">
        <f t="shared" si="27"/>
        <v>-4992.5288500000006</v>
      </c>
      <c r="Q107" s="15">
        <v>8000</v>
      </c>
      <c r="R107" s="1">
        <v>7054.6777199999997</v>
      </c>
      <c r="S107" s="22">
        <f t="shared" si="28"/>
        <v>-945.32228000000032</v>
      </c>
      <c r="T107" s="37">
        <f t="shared" si="29"/>
        <v>21000</v>
      </c>
      <c r="U107" s="2">
        <f t="shared" si="36"/>
        <v>15062.148869999999</v>
      </c>
      <c r="V107" s="20">
        <f t="shared" si="37"/>
        <v>-5937.8511300000009</v>
      </c>
      <c r="W107" s="21">
        <v>20500</v>
      </c>
      <c r="X107" s="11">
        <f t="shared" si="39"/>
        <v>13261.233333333334</v>
      </c>
      <c r="Y107" s="69">
        <f t="shared" si="30"/>
        <v>41000</v>
      </c>
      <c r="Z107" s="1">
        <f t="shared" si="31"/>
        <v>30703.297469999998</v>
      </c>
      <c r="AA107" s="1">
        <f t="shared" si="32"/>
        <v>-10296.702530000002</v>
      </c>
      <c r="AB107" s="70">
        <f t="shared" si="33"/>
        <v>43500</v>
      </c>
      <c r="AC107" s="1">
        <f t="shared" si="34"/>
        <v>23799.933333333334</v>
      </c>
      <c r="AD107" s="68">
        <f t="shared" si="35"/>
        <v>1.0609756097560976</v>
      </c>
    </row>
    <row r="108" spans="2:30" x14ac:dyDescent="0.35">
      <c r="B108" s="7">
        <v>46125</v>
      </c>
      <c r="C108" s="10">
        <v>5000</v>
      </c>
      <c r="D108" s="1">
        <v>2913.732</v>
      </c>
      <c r="E108" s="11">
        <f t="shared" si="22"/>
        <v>-2086.268</v>
      </c>
      <c r="F108" s="15">
        <v>15000</v>
      </c>
      <c r="G108" s="1">
        <v>12915.789799999999</v>
      </c>
      <c r="H108" s="16">
        <f t="shared" si="23"/>
        <v>-2084.2102000000014</v>
      </c>
      <c r="I108" s="15">
        <f t="shared" si="24"/>
        <v>20000</v>
      </c>
      <c r="J108" s="1">
        <f t="shared" si="25"/>
        <v>15829.521799999999</v>
      </c>
      <c r="K108" s="17">
        <f t="shared" si="26"/>
        <v>-4170.4782000000014</v>
      </c>
      <c r="L108" s="9">
        <v>23000</v>
      </c>
      <c r="M108" s="1">
        <f t="shared" si="38"/>
        <v>10538.7</v>
      </c>
      <c r="N108" s="15">
        <v>13000</v>
      </c>
      <c r="O108" s="1">
        <v>8175.06297</v>
      </c>
      <c r="P108" s="11">
        <f t="shared" si="27"/>
        <v>-4824.93703</v>
      </c>
      <c r="Q108" s="15">
        <v>8000</v>
      </c>
      <c r="R108" s="1">
        <v>7025.2092999999995</v>
      </c>
      <c r="S108" s="22">
        <f t="shared" si="28"/>
        <v>-974.79070000000047</v>
      </c>
      <c r="T108" s="37">
        <f t="shared" si="29"/>
        <v>21000</v>
      </c>
      <c r="U108" s="2">
        <f t="shared" si="36"/>
        <v>15200.272269999999</v>
      </c>
      <c r="V108" s="20">
        <f t="shared" si="37"/>
        <v>-5799.7277300000005</v>
      </c>
      <c r="W108" s="21">
        <v>20500</v>
      </c>
      <c r="X108" s="11">
        <f t="shared" si="39"/>
        <v>13261.233333333334</v>
      </c>
      <c r="Y108" s="69">
        <f t="shared" si="30"/>
        <v>41000</v>
      </c>
      <c r="Z108" s="1">
        <f t="shared" si="31"/>
        <v>31029.794069999996</v>
      </c>
      <c r="AA108" s="1">
        <f t="shared" si="32"/>
        <v>-9970.2059300000019</v>
      </c>
      <c r="AB108" s="70">
        <f t="shared" si="33"/>
        <v>43500</v>
      </c>
      <c r="AC108" s="1">
        <f t="shared" si="34"/>
        <v>23799.933333333334</v>
      </c>
      <c r="AD108" s="68">
        <f t="shared" si="35"/>
        <v>1.0609756097560976</v>
      </c>
    </row>
    <row r="109" spans="2:30" x14ac:dyDescent="0.35">
      <c r="B109" s="7">
        <v>46126</v>
      </c>
      <c r="C109" s="10">
        <v>5000</v>
      </c>
      <c r="D109" s="1">
        <v>2975.6969999999997</v>
      </c>
      <c r="E109" s="11">
        <f t="shared" si="22"/>
        <v>-2024.3030000000003</v>
      </c>
      <c r="F109" s="15">
        <v>15000</v>
      </c>
      <c r="G109" s="1">
        <v>12757.27464</v>
      </c>
      <c r="H109" s="16">
        <f t="shared" si="23"/>
        <v>-2242.7253600000004</v>
      </c>
      <c r="I109" s="15">
        <f t="shared" si="24"/>
        <v>20000</v>
      </c>
      <c r="J109" s="1">
        <f t="shared" si="25"/>
        <v>15732.97164</v>
      </c>
      <c r="K109" s="17">
        <f t="shared" si="26"/>
        <v>-4267.0283600000002</v>
      </c>
      <c r="L109" s="9">
        <v>23000</v>
      </c>
      <c r="M109" s="1">
        <f t="shared" si="38"/>
        <v>10538.7</v>
      </c>
      <c r="N109" s="15">
        <v>13000</v>
      </c>
      <c r="O109" s="1">
        <v>8067.6445199999998</v>
      </c>
      <c r="P109" s="11">
        <f t="shared" si="27"/>
        <v>-4932.3554800000002</v>
      </c>
      <c r="Q109" s="15">
        <v>8000</v>
      </c>
      <c r="R109" s="1">
        <v>7024.5085399999998</v>
      </c>
      <c r="S109" s="22">
        <f t="shared" si="28"/>
        <v>-975.49146000000019</v>
      </c>
      <c r="T109" s="37">
        <f t="shared" si="29"/>
        <v>21000</v>
      </c>
      <c r="U109" s="2">
        <f t="shared" si="36"/>
        <v>15092.153060000001</v>
      </c>
      <c r="V109" s="20">
        <f t="shared" si="37"/>
        <v>-5907.8469400000004</v>
      </c>
      <c r="W109" s="21">
        <v>20500</v>
      </c>
      <c r="X109" s="11">
        <f t="shared" si="39"/>
        <v>13261.233333333334</v>
      </c>
      <c r="Y109" s="69">
        <f t="shared" si="30"/>
        <v>41000</v>
      </c>
      <c r="Z109" s="1">
        <f t="shared" si="31"/>
        <v>30825.1247</v>
      </c>
      <c r="AA109" s="1">
        <f t="shared" si="32"/>
        <v>-10174.8753</v>
      </c>
      <c r="AB109" s="70">
        <f t="shared" si="33"/>
        <v>43500</v>
      </c>
      <c r="AC109" s="1">
        <f t="shared" si="34"/>
        <v>23799.933333333334</v>
      </c>
      <c r="AD109" s="68">
        <f t="shared" si="35"/>
        <v>1.0609756097560976</v>
      </c>
    </row>
    <row r="110" spans="2:30" x14ac:dyDescent="0.35">
      <c r="B110" s="7">
        <v>46127</v>
      </c>
      <c r="C110" s="10">
        <v>5000</v>
      </c>
      <c r="D110" s="1">
        <v>3305.1393360000002</v>
      </c>
      <c r="E110" s="11">
        <f t="shared" si="22"/>
        <v>-1694.8606639999998</v>
      </c>
      <c r="F110" s="15">
        <v>15000</v>
      </c>
      <c r="G110" s="1">
        <v>13391.035829999997</v>
      </c>
      <c r="H110" s="16">
        <f t="shared" si="23"/>
        <v>-1608.9641700000029</v>
      </c>
      <c r="I110" s="15">
        <f t="shared" si="24"/>
        <v>20000</v>
      </c>
      <c r="J110" s="1">
        <f t="shared" si="25"/>
        <v>16696.175165999997</v>
      </c>
      <c r="K110" s="17">
        <f t="shared" si="26"/>
        <v>-3303.8248340000027</v>
      </c>
      <c r="L110" s="9">
        <v>23000</v>
      </c>
      <c r="M110" s="1">
        <f t="shared" si="38"/>
        <v>10538.7</v>
      </c>
      <c r="N110" s="15">
        <v>13000</v>
      </c>
      <c r="O110" s="1">
        <v>8067.0808200000001</v>
      </c>
      <c r="P110" s="11">
        <f t="shared" si="27"/>
        <v>-4932.9191799999999</v>
      </c>
      <c r="Q110" s="15">
        <v>8000</v>
      </c>
      <c r="R110" s="1">
        <v>7121.0080899999994</v>
      </c>
      <c r="S110" s="22">
        <f t="shared" si="28"/>
        <v>-878.99191000000064</v>
      </c>
      <c r="T110" s="37">
        <f t="shared" si="29"/>
        <v>21000</v>
      </c>
      <c r="U110" s="2">
        <f t="shared" si="36"/>
        <v>15188.088909999999</v>
      </c>
      <c r="V110" s="20">
        <f t="shared" si="37"/>
        <v>-5811.9110900000005</v>
      </c>
      <c r="W110" s="21">
        <v>20500</v>
      </c>
      <c r="X110" s="11">
        <f t="shared" si="39"/>
        <v>13261.233333333334</v>
      </c>
      <c r="Y110" s="69">
        <f t="shared" si="30"/>
        <v>41000</v>
      </c>
      <c r="Z110" s="1">
        <f t="shared" si="31"/>
        <v>31884.264075999996</v>
      </c>
      <c r="AA110" s="1">
        <f t="shared" si="32"/>
        <v>-9115.7359240000042</v>
      </c>
      <c r="AB110" s="70">
        <f t="shared" si="33"/>
        <v>43500</v>
      </c>
      <c r="AC110" s="1">
        <f t="shared" si="34"/>
        <v>23799.933333333334</v>
      </c>
      <c r="AD110" s="68">
        <f t="shared" si="35"/>
        <v>1.0609756097560976</v>
      </c>
    </row>
    <row r="111" spans="2:30" x14ac:dyDescent="0.35">
      <c r="B111" s="7">
        <v>46128</v>
      </c>
      <c r="C111" s="10">
        <v>5000</v>
      </c>
      <c r="D111" s="1">
        <v>3701.9926299999997</v>
      </c>
      <c r="E111" s="11">
        <f t="shared" si="22"/>
        <v>-1298.0073700000003</v>
      </c>
      <c r="F111" s="15">
        <v>15000</v>
      </c>
      <c r="G111" s="1">
        <v>12191.183219999999</v>
      </c>
      <c r="H111" s="16">
        <f t="shared" si="23"/>
        <v>-2808.816780000001</v>
      </c>
      <c r="I111" s="15">
        <f t="shared" si="24"/>
        <v>20000</v>
      </c>
      <c r="J111" s="1">
        <f t="shared" si="25"/>
        <v>15893.17585</v>
      </c>
      <c r="K111" s="17">
        <f t="shared" si="26"/>
        <v>-4106.8241500000013</v>
      </c>
      <c r="L111" s="9">
        <v>23000</v>
      </c>
      <c r="M111" s="1">
        <f t="shared" si="38"/>
        <v>10538.7</v>
      </c>
      <c r="N111" s="15">
        <v>13000</v>
      </c>
      <c r="O111" s="1">
        <v>7931.8944000000001</v>
      </c>
      <c r="P111" s="11">
        <f t="shared" si="27"/>
        <v>-5068.1055999999999</v>
      </c>
      <c r="Q111" s="15">
        <v>8000</v>
      </c>
      <c r="R111" s="1">
        <v>7160.5959599999987</v>
      </c>
      <c r="S111" s="22">
        <f t="shared" si="28"/>
        <v>-839.40404000000126</v>
      </c>
      <c r="T111" s="37">
        <f t="shared" si="29"/>
        <v>21000</v>
      </c>
      <c r="U111" s="2">
        <f t="shared" si="36"/>
        <v>15092.49036</v>
      </c>
      <c r="V111" s="20">
        <f t="shared" si="37"/>
        <v>-5907.5096400000011</v>
      </c>
      <c r="W111" s="21">
        <v>20500</v>
      </c>
      <c r="X111" s="11">
        <f t="shared" si="39"/>
        <v>13261.233333333334</v>
      </c>
      <c r="Y111" s="69">
        <f t="shared" si="30"/>
        <v>41000</v>
      </c>
      <c r="Z111" s="1">
        <f t="shared" si="31"/>
        <v>30985.666209999999</v>
      </c>
      <c r="AA111" s="1">
        <f t="shared" si="32"/>
        <v>-10014.333790000002</v>
      </c>
      <c r="AB111" s="70">
        <f t="shared" si="33"/>
        <v>43500</v>
      </c>
      <c r="AC111" s="1">
        <f t="shared" si="34"/>
        <v>23799.933333333334</v>
      </c>
      <c r="AD111" s="68">
        <f t="shared" si="35"/>
        <v>1.0609756097560976</v>
      </c>
    </row>
    <row r="112" spans="2:30" x14ac:dyDescent="0.35">
      <c r="B112" s="7">
        <v>46129</v>
      </c>
      <c r="C112" s="10">
        <v>5000</v>
      </c>
      <c r="D112" s="1">
        <v>3882.5662499999999</v>
      </c>
      <c r="E112" s="11">
        <f t="shared" si="22"/>
        <v>-1117.4337500000001</v>
      </c>
      <c r="F112" s="15">
        <v>15000</v>
      </c>
      <c r="G112" s="1">
        <v>11216.8236</v>
      </c>
      <c r="H112" s="16">
        <f t="shared" si="23"/>
        <v>-3783.1764000000003</v>
      </c>
      <c r="I112" s="15">
        <f t="shared" si="24"/>
        <v>20000</v>
      </c>
      <c r="J112" s="1">
        <f t="shared" si="25"/>
        <v>15099.38985</v>
      </c>
      <c r="K112" s="17">
        <f t="shared" si="26"/>
        <v>-4900.6101500000004</v>
      </c>
      <c r="L112" s="9">
        <v>23000</v>
      </c>
      <c r="M112" s="1">
        <f t="shared" si="38"/>
        <v>10538.7</v>
      </c>
      <c r="N112" s="15">
        <v>13000</v>
      </c>
      <c r="O112" s="1">
        <v>7832.1758999999993</v>
      </c>
      <c r="P112" s="11">
        <f t="shared" si="27"/>
        <v>-5167.8241000000007</v>
      </c>
      <c r="Q112" s="15">
        <v>8000</v>
      </c>
      <c r="R112" s="1">
        <v>7174.2969199999998</v>
      </c>
      <c r="S112" s="22">
        <f t="shared" si="28"/>
        <v>-825.70308000000023</v>
      </c>
      <c r="T112" s="37">
        <f t="shared" si="29"/>
        <v>21000</v>
      </c>
      <c r="U112" s="2">
        <f t="shared" si="36"/>
        <v>15006.472819999999</v>
      </c>
      <c r="V112" s="20">
        <f t="shared" si="37"/>
        <v>-5993.527180000001</v>
      </c>
      <c r="W112" s="21">
        <v>20500</v>
      </c>
      <c r="X112" s="11">
        <f t="shared" si="39"/>
        <v>13261.233333333334</v>
      </c>
      <c r="Y112" s="69">
        <f t="shared" si="30"/>
        <v>41000</v>
      </c>
      <c r="Z112" s="1">
        <f t="shared" si="31"/>
        <v>30105.862669999999</v>
      </c>
      <c r="AA112" s="1">
        <f t="shared" si="32"/>
        <v>-10894.137330000001</v>
      </c>
      <c r="AB112" s="70">
        <f t="shared" si="33"/>
        <v>43500</v>
      </c>
      <c r="AC112" s="1">
        <f t="shared" si="34"/>
        <v>23799.933333333334</v>
      </c>
      <c r="AD112" s="68">
        <f t="shared" si="35"/>
        <v>1.0609756097560976</v>
      </c>
    </row>
    <row r="113" spans="2:30" x14ac:dyDescent="0.35">
      <c r="B113" s="7">
        <v>46130</v>
      </c>
      <c r="C113" s="10">
        <v>5000</v>
      </c>
      <c r="D113" s="1">
        <v>4069.3532</v>
      </c>
      <c r="E113" s="11">
        <f t="shared" si="22"/>
        <v>-930.64679999999998</v>
      </c>
      <c r="F113" s="15">
        <v>15000</v>
      </c>
      <c r="G113" s="1">
        <v>11179.805399999999</v>
      </c>
      <c r="H113" s="16">
        <f t="shared" si="23"/>
        <v>-3820.1946000000007</v>
      </c>
      <c r="I113" s="15">
        <f t="shared" si="24"/>
        <v>20000</v>
      </c>
      <c r="J113" s="1">
        <f t="shared" si="25"/>
        <v>15249.158599999999</v>
      </c>
      <c r="K113" s="17">
        <f t="shared" si="26"/>
        <v>-4750.8414000000012</v>
      </c>
      <c r="L113" s="9">
        <v>23000</v>
      </c>
      <c r="M113" s="1">
        <f t="shared" si="38"/>
        <v>10538.7</v>
      </c>
      <c r="N113" s="15">
        <v>13000</v>
      </c>
      <c r="O113" s="1">
        <v>7844.4795199999999</v>
      </c>
      <c r="P113" s="11">
        <f t="shared" si="27"/>
        <v>-5155.5204800000001</v>
      </c>
      <c r="Q113" s="15">
        <v>8000</v>
      </c>
      <c r="R113" s="1">
        <v>7360.4844000000003</v>
      </c>
      <c r="S113" s="22">
        <f t="shared" si="28"/>
        <v>-639.51559999999972</v>
      </c>
      <c r="T113" s="37">
        <f t="shared" si="29"/>
        <v>21000</v>
      </c>
      <c r="U113" s="2">
        <f t="shared" si="36"/>
        <v>15204.96392</v>
      </c>
      <c r="V113" s="20">
        <f t="shared" si="37"/>
        <v>-5795.0360799999999</v>
      </c>
      <c r="W113" s="21">
        <v>20500</v>
      </c>
      <c r="X113" s="11">
        <f t="shared" si="39"/>
        <v>13261.233333333334</v>
      </c>
      <c r="Y113" s="69">
        <f t="shared" si="30"/>
        <v>41000</v>
      </c>
      <c r="Z113" s="1">
        <f t="shared" si="31"/>
        <v>30454.122519999997</v>
      </c>
      <c r="AA113" s="1">
        <f t="shared" si="32"/>
        <v>-10545.877480000001</v>
      </c>
      <c r="AB113" s="70">
        <f t="shared" si="33"/>
        <v>43500</v>
      </c>
      <c r="AC113" s="1">
        <f t="shared" si="34"/>
        <v>23799.933333333334</v>
      </c>
      <c r="AD113" s="68">
        <f t="shared" si="35"/>
        <v>1.0609756097560976</v>
      </c>
    </row>
    <row r="114" spans="2:30" x14ac:dyDescent="0.35">
      <c r="B114" s="7">
        <v>46131</v>
      </c>
      <c r="C114" s="10">
        <v>5000</v>
      </c>
      <c r="D114" s="1">
        <v>4081.3147000000004</v>
      </c>
      <c r="E114" s="11">
        <f t="shared" si="22"/>
        <v>-918.68529999999964</v>
      </c>
      <c r="F114" s="15">
        <v>15000</v>
      </c>
      <c r="G114" s="1">
        <v>11372.872049999998</v>
      </c>
      <c r="H114" s="16">
        <f t="shared" si="23"/>
        <v>-3627.1279500000019</v>
      </c>
      <c r="I114" s="15">
        <f t="shared" si="24"/>
        <v>20000</v>
      </c>
      <c r="J114" s="1">
        <f t="shared" si="25"/>
        <v>15454.186749999999</v>
      </c>
      <c r="K114" s="17">
        <f t="shared" si="26"/>
        <v>-4545.8132500000011</v>
      </c>
      <c r="L114" s="9">
        <v>23000</v>
      </c>
      <c r="M114" s="1">
        <f t="shared" si="38"/>
        <v>10538.7</v>
      </c>
      <c r="N114" s="15">
        <v>13000</v>
      </c>
      <c r="O114" s="1">
        <v>7795.2423000000008</v>
      </c>
      <c r="P114" s="11">
        <f t="shared" si="27"/>
        <v>-5204.7576999999992</v>
      </c>
      <c r="Q114" s="15">
        <v>8000</v>
      </c>
      <c r="R114" s="1">
        <v>7271.7860000000001</v>
      </c>
      <c r="S114" s="22">
        <f t="shared" si="28"/>
        <v>-728.21399999999994</v>
      </c>
      <c r="T114" s="37">
        <f t="shared" si="29"/>
        <v>21000</v>
      </c>
      <c r="U114" s="2">
        <f t="shared" si="36"/>
        <v>15067.028300000002</v>
      </c>
      <c r="V114" s="20">
        <f t="shared" si="37"/>
        <v>-5932.9716999999991</v>
      </c>
      <c r="W114" s="21">
        <v>20500</v>
      </c>
      <c r="X114" s="11">
        <f t="shared" si="39"/>
        <v>13261.233333333334</v>
      </c>
      <c r="Y114" s="69">
        <f t="shared" si="30"/>
        <v>41000</v>
      </c>
      <c r="Z114" s="1">
        <f t="shared" si="31"/>
        <v>30521.215049999999</v>
      </c>
      <c r="AA114" s="1">
        <f t="shared" si="32"/>
        <v>-10478.784950000001</v>
      </c>
      <c r="AB114" s="70">
        <f t="shared" si="33"/>
        <v>43500</v>
      </c>
      <c r="AC114" s="1">
        <f t="shared" si="34"/>
        <v>23799.933333333334</v>
      </c>
      <c r="AD114" s="68">
        <f t="shared" si="35"/>
        <v>1.0609756097560976</v>
      </c>
    </row>
    <row r="115" spans="2:30" x14ac:dyDescent="0.35">
      <c r="B115" s="7">
        <v>46132</v>
      </c>
      <c r="C115" s="10">
        <v>5000</v>
      </c>
      <c r="D115" s="1">
        <v>3265.5588210000001</v>
      </c>
      <c r="E115" s="11">
        <f t="shared" si="22"/>
        <v>-1734.4411789999999</v>
      </c>
      <c r="F115" s="15">
        <v>15000</v>
      </c>
      <c r="G115" s="1">
        <v>12337.438050000001</v>
      </c>
      <c r="H115" s="16">
        <f t="shared" si="23"/>
        <v>-2662.5619499999993</v>
      </c>
      <c r="I115" s="15">
        <f t="shared" si="24"/>
        <v>20000</v>
      </c>
      <c r="J115" s="1">
        <f t="shared" si="25"/>
        <v>15602.996871000001</v>
      </c>
      <c r="K115" s="17">
        <f t="shared" si="26"/>
        <v>-4397.0031289999988</v>
      </c>
      <c r="L115" s="9">
        <v>23000</v>
      </c>
      <c r="M115" s="1">
        <f t="shared" si="38"/>
        <v>10538.7</v>
      </c>
      <c r="N115" s="15">
        <v>13000</v>
      </c>
      <c r="O115" s="1">
        <v>7680.9901600000003</v>
      </c>
      <c r="P115" s="11">
        <f t="shared" si="27"/>
        <v>-5319.0098399999997</v>
      </c>
      <c r="Q115" s="15">
        <v>8000</v>
      </c>
      <c r="R115" s="1">
        <v>7055.5086499999998</v>
      </c>
      <c r="S115" s="22">
        <f t="shared" si="28"/>
        <v>-944.49135000000024</v>
      </c>
      <c r="T115" s="37">
        <f t="shared" si="29"/>
        <v>21000</v>
      </c>
      <c r="U115" s="2">
        <f t="shared" si="36"/>
        <v>14736.498810000001</v>
      </c>
      <c r="V115" s="20">
        <f t="shared" si="37"/>
        <v>-6263.50119</v>
      </c>
      <c r="W115" s="21">
        <v>20500</v>
      </c>
      <c r="X115" s="11">
        <f t="shared" si="39"/>
        <v>13261.233333333334</v>
      </c>
      <c r="Y115" s="69">
        <f t="shared" si="30"/>
        <v>41000</v>
      </c>
      <c r="Z115" s="1">
        <f t="shared" si="31"/>
        <v>30339.495681</v>
      </c>
      <c r="AA115" s="1">
        <f t="shared" si="32"/>
        <v>-10660.504319</v>
      </c>
      <c r="AB115" s="70">
        <f t="shared" si="33"/>
        <v>43500</v>
      </c>
      <c r="AC115" s="1">
        <f t="shared" si="34"/>
        <v>23799.933333333334</v>
      </c>
      <c r="AD115" s="68">
        <f t="shared" si="35"/>
        <v>1.0609756097560976</v>
      </c>
    </row>
    <row r="116" spans="2:30" x14ac:dyDescent="0.35">
      <c r="B116" s="7">
        <v>46133</v>
      </c>
      <c r="C116" s="10">
        <v>5000</v>
      </c>
      <c r="D116" s="1">
        <v>3815.5104000000001</v>
      </c>
      <c r="E116" s="11">
        <f t="shared" si="22"/>
        <v>-1184.4895999999999</v>
      </c>
      <c r="F116" s="15">
        <v>15000</v>
      </c>
      <c r="G116" s="1">
        <v>13202.279999999999</v>
      </c>
      <c r="H116" s="16">
        <f t="shared" si="23"/>
        <v>-1797.7200000000012</v>
      </c>
      <c r="I116" s="15">
        <f t="shared" si="24"/>
        <v>20000</v>
      </c>
      <c r="J116" s="1">
        <f t="shared" si="25"/>
        <v>17017.790399999998</v>
      </c>
      <c r="K116" s="17">
        <f t="shared" si="26"/>
        <v>-2982.209600000001</v>
      </c>
      <c r="L116" s="9">
        <v>23000</v>
      </c>
      <c r="M116" s="1">
        <f t="shared" si="38"/>
        <v>10538.7</v>
      </c>
      <c r="N116" s="15">
        <v>13000</v>
      </c>
      <c r="O116" s="1">
        <v>7922.0547999999999</v>
      </c>
      <c r="P116" s="11">
        <f t="shared" si="27"/>
        <v>-5077.9452000000001</v>
      </c>
      <c r="Q116" s="15">
        <v>8000</v>
      </c>
      <c r="R116" s="1">
        <v>7295.1830000000009</v>
      </c>
      <c r="S116" s="22">
        <f t="shared" si="28"/>
        <v>-704.8169999999991</v>
      </c>
      <c r="T116" s="37">
        <f t="shared" si="29"/>
        <v>21000</v>
      </c>
      <c r="U116" s="2">
        <f t="shared" si="36"/>
        <v>15217.237800000001</v>
      </c>
      <c r="V116" s="20">
        <f t="shared" si="37"/>
        <v>-5782.7621999999992</v>
      </c>
      <c r="W116" s="21">
        <v>20500</v>
      </c>
      <c r="X116" s="11">
        <f t="shared" si="39"/>
        <v>13261.233333333334</v>
      </c>
      <c r="Y116" s="69">
        <f t="shared" si="30"/>
        <v>41000</v>
      </c>
      <c r="Z116" s="1">
        <f t="shared" si="31"/>
        <v>32235.028200000001</v>
      </c>
      <c r="AA116" s="1">
        <f t="shared" si="32"/>
        <v>-8764.9717999999993</v>
      </c>
      <c r="AB116" s="70">
        <f t="shared" si="33"/>
        <v>43500</v>
      </c>
      <c r="AC116" s="1">
        <f t="shared" si="34"/>
        <v>23799.933333333334</v>
      </c>
      <c r="AD116" s="68">
        <f t="shared" si="35"/>
        <v>1.0609756097560976</v>
      </c>
    </row>
    <row r="117" spans="2:30" x14ac:dyDescent="0.35">
      <c r="B117" s="7">
        <v>46134</v>
      </c>
      <c r="C117" s="10">
        <v>5000</v>
      </c>
      <c r="D117" s="1">
        <v>3999.3698600000002</v>
      </c>
      <c r="E117" s="11">
        <f t="shared" si="22"/>
        <v>-1000.6301399999998</v>
      </c>
      <c r="F117" s="15">
        <v>15000</v>
      </c>
      <c r="G117" s="1">
        <v>12981.450799999999</v>
      </c>
      <c r="H117" s="16">
        <f t="shared" si="23"/>
        <v>-2018.5492000000013</v>
      </c>
      <c r="I117" s="15">
        <f t="shared" si="24"/>
        <v>20000</v>
      </c>
      <c r="J117" s="1">
        <f t="shared" si="25"/>
        <v>16980.820659999998</v>
      </c>
      <c r="K117" s="17">
        <f t="shared" si="26"/>
        <v>-3019.179340000001</v>
      </c>
      <c r="L117" s="9">
        <v>23000</v>
      </c>
      <c r="M117" s="1">
        <f t="shared" si="38"/>
        <v>10538.7</v>
      </c>
      <c r="N117" s="15">
        <v>13000</v>
      </c>
      <c r="O117" s="1">
        <v>7822.0934399999996</v>
      </c>
      <c r="P117" s="11">
        <f t="shared" si="27"/>
        <v>-5177.9065600000004</v>
      </c>
      <c r="Q117" s="15">
        <v>8000</v>
      </c>
      <c r="R117" s="1">
        <v>7363.7533199999998</v>
      </c>
      <c r="S117" s="22">
        <f t="shared" si="28"/>
        <v>-636.2466800000002</v>
      </c>
      <c r="T117" s="37">
        <f t="shared" si="29"/>
        <v>21000</v>
      </c>
      <c r="U117" s="2">
        <f t="shared" si="36"/>
        <v>15185.84676</v>
      </c>
      <c r="V117" s="20">
        <f t="shared" si="37"/>
        <v>-5814.1532400000006</v>
      </c>
      <c r="W117" s="21">
        <v>20500</v>
      </c>
      <c r="X117" s="11">
        <f t="shared" si="39"/>
        <v>13261.233333333334</v>
      </c>
      <c r="Y117" s="69">
        <f t="shared" si="30"/>
        <v>41000</v>
      </c>
      <c r="Z117" s="1">
        <f t="shared" si="31"/>
        <v>32166.667419999998</v>
      </c>
      <c r="AA117" s="1">
        <f t="shared" si="32"/>
        <v>-8833.3325800000021</v>
      </c>
      <c r="AB117" s="70">
        <f t="shared" si="33"/>
        <v>43500</v>
      </c>
      <c r="AC117" s="1">
        <f t="shared" si="34"/>
        <v>23799.933333333334</v>
      </c>
      <c r="AD117" s="68">
        <f t="shared" si="35"/>
        <v>1.0609756097560976</v>
      </c>
    </row>
    <row r="118" spans="2:30" x14ac:dyDescent="0.35">
      <c r="B118" s="7">
        <v>46135</v>
      </c>
      <c r="C118" s="10">
        <v>5000</v>
      </c>
      <c r="D118" s="1">
        <v>4145.0395200000003</v>
      </c>
      <c r="E118" s="11">
        <f t="shared" si="22"/>
        <v>-854.96047999999973</v>
      </c>
      <c r="F118" s="15">
        <v>15000</v>
      </c>
      <c r="G118" s="1">
        <v>12696.841199999999</v>
      </c>
      <c r="H118" s="16">
        <f t="shared" si="23"/>
        <v>-2303.1588000000011</v>
      </c>
      <c r="I118" s="15">
        <f t="shared" si="24"/>
        <v>20000</v>
      </c>
      <c r="J118" s="1">
        <f t="shared" si="25"/>
        <v>16841.880720000001</v>
      </c>
      <c r="K118" s="17">
        <f t="shared" si="26"/>
        <v>-3158.1192800000008</v>
      </c>
      <c r="L118" s="9">
        <v>23000</v>
      </c>
      <c r="M118" s="1">
        <f t="shared" si="38"/>
        <v>10538.7</v>
      </c>
      <c r="N118" s="15">
        <v>13000</v>
      </c>
      <c r="O118" s="1">
        <v>7930.5484999999999</v>
      </c>
      <c r="P118" s="11">
        <f t="shared" si="27"/>
        <v>-5069.4515000000001</v>
      </c>
      <c r="Q118" s="15">
        <v>8000</v>
      </c>
      <c r="R118" s="1">
        <v>7227.0675499999998</v>
      </c>
      <c r="S118" s="22">
        <f t="shared" si="28"/>
        <v>-772.93245000000024</v>
      </c>
      <c r="T118" s="37">
        <f t="shared" si="29"/>
        <v>21000</v>
      </c>
      <c r="U118" s="2">
        <f t="shared" si="36"/>
        <v>15157.616050000001</v>
      </c>
      <c r="V118" s="20">
        <f t="shared" si="37"/>
        <v>-5842.3839500000004</v>
      </c>
      <c r="W118" s="21">
        <v>20500</v>
      </c>
      <c r="X118" s="11">
        <f t="shared" si="39"/>
        <v>13261.233333333334</v>
      </c>
      <c r="Y118" s="69">
        <f t="shared" si="30"/>
        <v>41000</v>
      </c>
      <c r="Z118" s="1">
        <f t="shared" si="31"/>
        <v>31999.496770000002</v>
      </c>
      <c r="AA118" s="1">
        <f t="shared" si="32"/>
        <v>-9000.5032300000021</v>
      </c>
      <c r="AB118" s="70">
        <f t="shared" si="33"/>
        <v>43500</v>
      </c>
      <c r="AC118" s="1">
        <f t="shared" si="34"/>
        <v>23799.933333333334</v>
      </c>
      <c r="AD118" s="68">
        <f t="shared" si="35"/>
        <v>1.0609756097560976</v>
      </c>
    </row>
    <row r="119" spans="2:30" x14ac:dyDescent="0.35">
      <c r="B119" s="7">
        <v>46136</v>
      </c>
      <c r="C119" s="10">
        <v>5000</v>
      </c>
      <c r="D119" s="1">
        <v>3993.3465899999997</v>
      </c>
      <c r="E119" s="11">
        <f t="shared" si="22"/>
        <v>-1006.6534100000003</v>
      </c>
      <c r="F119" s="15">
        <v>15000</v>
      </c>
      <c r="G119" s="1">
        <v>12454.604500000001</v>
      </c>
      <c r="H119" s="16">
        <f t="shared" si="23"/>
        <v>-2545.3954999999987</v>
      </c>
      <c r="I119" s="15">
        <f t="shared" si="24"/>
        <v>20000</v>
      </c>
      <c r="J119" s="1">
        <f t="shared" si="25"/>
        <v>16447.951090000002</v>
      </c>
      <c r="K119" s="17">
        <f t="shared" si="26"/>
        <v>-3552.0489099999991</v>
      </c>
      <c r="L119" s="9">
        <v>23000</v>
      </c>
      <c r="M119" s="1">
        <f t="shared" si="38"/>
        <v>10538.7</v>
      </c>
      <c r="N119" s="15">
        <v>13000</v>
      </c>
      <c r="O119" s="1">
        <v>7903.9847999999993</v>
      </c>
      <c r="P119" s="11">
        <f t="shared" si="27"/>
        <v>-5096.0152000000007</v>
      </c>
      <c r="Q119" s="15">
        <v>8000</v>
      </c>
      <c r="R119" s="1">
        <v>7209.9902000000002</v>
      </c>
      <c r="S119" s="22">
        <f t="shared" si="28"/>
        <v>-790.00979999999981</v>
      </c>
      <c r="T119" s="37">
        <f t="shared" si="29"/>
        <v>21000</v>
      </c>
      <c r="U119" s="2">
        <f t="shared" si="36"/>
        <v>15113.974999999999</v>
      </c>
      <c r="V119" s="20">
        <f t="shared" si="37"/>
        <v>-5886.0250000000005</v>
      </c>
      <c r="W119" s="21">
        <v>20500</v>
      </c>
      <c r="X119" s="11">
        <f t="shared" si="39"/>
        <v>13261.233333333334</v>
      </c>
      <c r="Y119" s="69">
        <f t="shared" si="30"/>
        <v>41000</v>
      </c>
      <c r="Z119" s="1">
        <f t="shared" si="31"/>
        <v>31561.926090000001</v>
      </c>
      <c r="AA119" s="1">
        <f t="shared" si="32"/>
        <v>-9438.0739099999992</v>
      </c>
      <c r="AB119" s="70">
        <f t="shared" si="33"/>
        <v>43500</v>
      </c>
      <c r="AC119" s="1">
        <f t="shared" si="34"/>
        <v>23799.933333333334</v>
      </c>
      <c r="AD119" s="68">
        <f t="shared" si="35"/>
        <v>1.0609756097560976</v>
      </c>
    </row>
    <row r="120" spans="2:30" x14ac:dyDescent="0.35">
      <c r="B120" s="7">
        <v>46137</v>
      </c>
      <c r="C120" s="10">
        <v>5000</v>
      </c>
      <c r="D120" s="1">
        <v>4112.6419399999995</v>
      </c>
      <c r="E120" s="11">
        <f t="shared" si="22"/>
        <v>-887.35806000000048</v>
      </c>
      <c r="F120" s="15">
        <v>15000</v>
      </c>
      <c r="G120" s="1">
        <v>13512.937749999999</v>
      </c>
      <c r="H120" s="16">
        <f t="shared" si="23"/>
        <v>-1487.0622500000009</v>
      </c>
      <c r="I120" s="15">
        <f t="shared" si="24"/>
        <v>20000</v>
      </c>
      <c r="J120" s="1">
        <f t="shared" si="25"/>
        <v>17625.579689999999</v>
      </c>
      <c r="K120" s="17">
        <f t="shared" si="26"/>
        <v>-2374.4203100000013</v>
      </c>
      <c r="L120" s="9">
        <v>23000</v>
      </c>
      <c r="M120" s="1">
        <f t="shared" si="38"/>
        <v>10538.7</v>
      </c>
      <c r="N120" s="15">
        <v>13000</v>
      </c>
      <c r="O120" s="1">
        <v>7886.3358600000001</v>
      </c>
      <c r="P120" s="11">
        <f t="shared" si="27"/>
        <v>-5113.6641399999999</v>
      </c>
      <c r="Q120" s="15">
        <v>8000</v>
      </c>
      <c r="R120" s="1">
        <v>7205.7041200000003</v>
      </c>
      <c r="S120" s="22">
        <f t="shared" si="28"/>
        <v>-794.29587999999967</v>
      </c>
      <c r="T120" s="37">
        <f t="shared" si="29"/>
        <v>21000</v>
      </c>
      <c r="U120" s="2">
        <f t="shared" si="36"/>
        <v>15092.039980000001</v>
      </c>
      <c r="V120" s="20">
        <f t="shared" si="37"/>
        <v>-5907.9600199999995</v>
      </c>
      <c r="W120" s="21">
        <v>20500</v>
      </c>
      <c r="X120" s="11">
        <f t="shared" si="39"/>
        <v>13261.233333333334</v>
      </c>
      <c r="Y120" s="69">
        <f t="shared" si="30"/>
        <v>41000</v>
      </c>
      <c r="Z120" s="1">
        <f t="shared" si="31"/>
        <v>32717.61967</v>
      </c>
      <c r="AA120" s="1">
        <f t="shared" si="32"/>
        <v>-8282.38033</v>
      </c>
      <c r="AB120" s="70">
        <f t="shared" si="33"/>
        <v>43500</v>
      </c>
      <c r="AC120" s="1">
        <f t="shared" si="34"/>
        <v>23799.933333333334</v>
      </c>
      <c r="AD120" s="68">
        <f t="shared" si="35"/>
        <v>1.0609756097560976</v>
      </c>
    </row>
    <row r="121" spans="2:30" x14ac:dyDescent="0.35">
      <c r="B121" s="7">
        <v>46138</v>
      </c>
      <c r="C121" s="10">
        <v>5000</v>
      </c>
      <c r="D121" s="1">
        <v>4059.3788100000002</v>
      </c>
      <c r="E121" s="11">
        <f t="shared" si="22"/>
        <v>-940.62118999999984</v>
      </c>
      <c r="F121" s="15">
        <v>15000</v>
      </c>
      <c r="G121" s="1">
        <v>13637.025430000002</v>
      </c>
      <c r="H121" s="16">
        <f t="shared" si="23"/>
        <v>-1362.9745699999985</v>
      </c>
      <c r="I121" s="15">
        <f t="shared" si="24"/>
        <v>20000</v>
      </c>
      <c r="J121" s="1">
        <f t="shared" si="25"/>
        <v>17696.404240000003</v>
      </c>
      <c r="K121" s="17">
        <f t="shared" si="26"/>
        <v>-2303.5957599999983</v>
      </c>
      <c r="L121" s="9">
        <v>23000</v>
      </c>
      <c r="M121" s="1">
        <f t="shared" si="38"/>
        <v>10538.7</v>
      </c>
      <c r="N121" s="15">
        <v>13000</v>
      </c>
      <c r="O121" s="1">
        <v>7917.9352499999995</v>
      </c>
      <c r="P121" s="11">
        <f t="shared" si="27"/>
        <v>-5082.0647500000005</v>
      </c>
      <c r="Q121" s="15">
        <v>8000</v>
      </c>
      <c r="R121" s="1">
        <v>7211.5305099999987</v>
      </c>
      <c r="S121" s="22">
        <f t="shared" si="28"/>
        <v>-788.46949000000131</v>
      </c>
      <c r="T121" s="37">
        <f t="shared" si="29"/>
        <v>21000</v>
      </c>
      <c r="U121" s="2">
        <f t="shared" si="36"/>
        <v>15129.465759999999</v>
      </c>
      <c r="V121" s="20">
        <f t="shared" si="37"/>
        <v>-5870.5342400000018</v>
      </c>
      <c r="W121" s="21">
        <v>20500</v>
      </c>
      <c r="X121" s="11">
        <f t="shared" si="39"/>
        <v>13261.233333333334</v>
      </c>
      <c r="Y121" s="69">
        <f t="shared" si="30"/>
        <v>41000</v>
      </c>
      <c r="Z121" s="1">
        <f t="shared" si="31"/>
        <v>32825.870000000003</v>
      </c>
      <c r="AA121" s="1">
        <f t="shared" si="32"/>
        <v>-8174.13</v>
      </c>
      <c r="AB121" s="70">
        <f t="shared" si="33"/>
        <v>43500</v>
      </c>
      <c r="AC121" s="1">
        <f t="shared" si="34"/>
        <v>23799.933333333334</v>
      </c>
      <c r="AD121" s="68">
        <f t="shared" si="35"/>
        <v>1.0609756097560976</v>
      </c>
    </row>
    <row r="122" spans="2:30" x14ac:dyDescent="0.35">
      <c r="B122" s="7">
        <v>46139</v>
      </c>
      <c r="C122" s="10">
        <v>5000</v>
      </c>
      <c r="D122" s="1">
        <v>4045.1565300000007</v>
      </c>
      <c r="E122" s="11">
        <f t="shared" si="22"/>
        <v>-954.84346999999934</v>
      </c>
      <c r="F122" s="15">
        <v>15000</v>
      </c>
      <c r="G122" s="1">
        <v>14061.191690000001</v>
      </c>
      <c r="H122" s="16">
        <f t="shared" si="23"/>
        <v>-938.80830999999853</v>
      </c>
      <c r="I122" s="15">
        <f t="shared" si="24"/>
        <v>20000</v>
      </c>
      <c r="J122" s="1">
        <f t="shared" si="25"/>
        <v>18106.348220000003</v>
      </c>
      <c r="K122" s="17">
        <f t="shared" si="26"/>
        <v>-1893.6517799999979</v>
      </c>
      <c r="L122" s="9">
        <v>23000</v>
      </c>
      <c r="M122" s="1">
        <f t="shared" si="38"/>
        <v>10538.7</v>
      </c>
      <c r="N122" s="15">
        <v>13000</v>
      </c>
      <c r="O122" s="1">
        <v>7965.54594</v>
      </c>
      <c r="P122" s="11">
        <f t="shared" si="27"/>
        <v>-5034.45406</v>
      </c>
      <c r="Q122" s="15">
        <v>8000</v>
      </c>
      <c r="R122" s="1">
        <v>7233.8984899999996</v>
      </c>
      <c r="S122" s="22">
        <f t="shared" si="28"/>
        <v>-766.10151000000042</v>
      </c>
      <c r="T122" s="37">
        <f t="shared" si="29"/>
        <v>21000</v>
      </c>
      <c r="U122" s="2">
        <f t="shared" si="36"/>
        <v>15199.44443</v>
      </c>
      <c r="V122" s="20">
        <f t="shared" si="37"/>
        <v>-5800.5555700000004</v>
      </c>
      <c r="W122" s="21">
        <v>20500</v>
      </c>
      <c r="X122" s="11">
        <f t="shared" si="39"/>
        <v>13261.233333333334</v>
      </c>
      <c r="Y122" s="69">
        <f t="shared" si="30"/>
        <v>41000</v>
      </c>
      <c r="Z122" s="1">
        <f t="shared" si="31"/>
        <v>33305.792650000003</v>
      </c>
      <c r="AA122" s="1">
        <f t="shared" si="32"/>
        <v>-7694.2073499999988</v>
      </c>
      <c r="AB122" s="70">
        <f t="shared" si="33"/>
        <v>43500</v>
      </c>
      <c r="AC122" s="1">
        <f t="shared" si="34"/>
        <v>23799.933333333334</v>
      </c>
      <c r="AD122" s="68">
        <f t="shared" si="35"/>
        <v>1.0609756097560976</v>
      </c>
    </row>
    <row r="123" spans="2:30" x14ac:dyDescent="0.35">
      <c r="B123" s="7">
        <v>46140</v>
      </c>
      <c r="C123" s="10">
        <v>5000</v>
      </c>
      <c r="D123" s="1">
        <v>4002.3351000000002</v>
      </c>
      <c r="E123" s="11">
        <f t="shared" si="22"/>
        <v>-997.66489999999976</v>
      </c>
      <c r="F123" s="15">
        <v>15000</v>
      </c>
      <c r="G123" s="1">
        <v>14278.51677</v>
      </c>
      <c r="H123" s="16">
        <f t="shared" si="23"/>
        <v>-721.48322999999982</v>
      </c>
      <c r="I123" s="15">
        <f t="shared" si="24"/>
        <v>20000</v>
      </c>
      <c r="J123" s="1">
        <f t="shared" si="25"/>
        <v>18280.851869999999</v>
      </c>
      <c r="K123" s="17">
        <f t="shared" si="26"/>
        <v>-1719.1481299999996</v>
      </c>
      <c r="L123" s="9">
        <v>23000</v>
      </c>
      <c r="M123" s="1">
        <f t="shared" si="38"/>
        <v>10538.7</v>
      </c>
      <c r="N123" s="15">
        <v>13000</v>
      </c>
      <c r="O123" s="1">
        <v>8000.0253300000004</v>
      </c>
      <c r="P123" s="11">
        <f t="shared" si="27"/>
        <v>-4999.9746699999996</v>
      </c>
      <c r="Q123" s="15">
        <v>8000</v>
      </c>
      <c r="R123" s="1">
        <v>7585.8928099999994</v>
      </c>
      <c r="S123" s="22">
        <f t="shared" si="28"/>
        <v>-414.10719000000063</v>
      </c>
      <c r="T123" s="37">
        <f t="shared" si="29"/>
        <v>21000</v>
      </c>
      <c r="U123" s="2">
        <f t="shared" si="36"/>
        <v>15585.91814</v>
      </c>
      <c r="V123" s="20">
        <f t="shared" si="37"/>
        <v>-5414.0818600000002</v>
      </c>
      <c r="W123" s="21">
        <v>20500</v>
      </c>
      <c r="X123" s="11">
        <f t="shared" si="39"/>
        <v>13261.233333333334</v>
      </c>
      <c r="Y123" s="69">
        <f t="shared" si="30"/>
        <v>41000</v>
      </c>
      <c r="Z123" s="1">
        <f t="shared" si="31"/>
        <v>33866.77001</v>
      </c>
      <c r="AA123" s="1">
        <f t="shared" si="32"/>
        <v>-7133.2299899999998</v>
      </c>
      <c r="AB123" s="70">
        <f t="shared" si="33"/>
        <v>43500</v>
      </c>
      <c r="AC123" s="1">
        <f t="shared" si="34"/>
        <v>23799.933333333334</v>
      </c>
      <c r="AD123" s="68">
        <f t="shared" si="35"/>
        <v>1.0609756097560976</v>
      </c>
    </row>
    <row r="124" spans="2:30" x14ac:dyDescent="0.35">
      <c r="B124" s="7">
        <v>46141</v>
      </c>
      <c r="C124" s="10">
        <v>5000</v>
      </c>
      <c r="D124" s="1">
        <v>4014.86283</v>
      </c>
      <c r="E124" s="11">
        <f t="shared" si="22"/>
        <v>-985.13716999999997</v>
      </c>
      <c r="F124" s="15">
        <v>15000</v>
      </c>
      <c r="G124" s="1">
        <v>14056.566440000001</v>
      </c>
      <c r="H124" s="16">
        <f t="shared" si="23"/>
        <v>-943.43355999999949</v>
      </c>
      <c r="I124" s="15">
        <f t="shared" si="24"/>
        <v>20000</v>
      </c>
      <c r="J124" s="1">
        <f t="shared" si="25"/>
        <v>18071.429270000001</v>
      </c>
      <c r="K124" s="17">
        <f t="shared" si="26"/>
        <v>-1928.5707299999995</v>
      </c>
      <c r="L124" s="9">
        <v>23000</v>
      </c>
      <c r="M124" s="1">
        <f t="shared" si="38"/>
        <v>10538.7</v>
      </c>
      <c r="N124" s="15">
        <v>13000</v>
      </c>
      <c r="O124" s="1">
        <v>8220.9809999999998</v>
      </c>
      <c r="P124" s="11">
        <f t="shared" si="27"/>
        <v>-4779.0190000000002</v>
      </c>
      <c r="Q124" s="15">
        <v>8000</v>
      </c>
      <c r="R124" s="1">
        <v>7070.9582399999999</v>
      </c>
      <c r="S124" s="22">
        <f t="shared" si="28"/>
        <v>-929.04176000000007</v>
      </c>
      <c r="T124" s="37">
        <f t="shared" si="29"/>
        <v>21000</v>
      </c>
      <c r="U124" s="2">
        <f t="shared" si="36"/>
        <v>15291.93924</v>
      </c>
      <c r="V124" s="20">
        <f t="shared" si="37"/>
        <v>-5708.0607600000003</v>
      </c>
      <c r="W124" s="21">
        <v>20500</v>
      </c>
      <c r="X124" s="11">
        <f t="shared" si="39"/>
        <v>13261.233333333334</v>
      </c>
      <c r="Y124" s="69">
        <f t="shared" si="30"/>
        <v>41000</v>
      </c>
      <c r="Z124" s="1">
        <f t="shared" si="31"/>
        <v>33363.36851</v>
      </c>
      <c r="AA124" s="1">
        <f t="shared" si="32"/>
        <v>-7636.6314899999998</v>
      </c>
      <c r="AB124" s="70">
        <f t="shared" si="33"/>
        <v>43500</v>
      </c>
      <c r="AC124" s="1">
        <f t="shared" si="34"/>
        <v>23799.933333333334</v>
      </c>
      <c r="AD124" s="68">
        <f t="shared" si="35"/>
        <v>1.0609756097560976</v>
      </c>
    </row>
    <row r="125" spans="2:30" x14ac:dyDescent="0.35">
      <c r="B125" s="7">
        <v>46142</v>
      </c>
      <c r="C125" s="10">
        <v>5000</v>
      </c>
      <c r="D125" s="3">
        <v>4020.1482000000001</v>
      </c>
      <c r="E125" s="11">
        <f t="shared" si="22"/>
        <v>-979.85179999999991</v>
      </c>
      <c r="F125" s="15">
        <v>15000</v>
      </c>
      <c r="G125" s="3">
        <v>13781.2922</v>
      </c>
      <c r="H125" s="16">
        <f t="shared" si="23"/>
        <v>-1218.7078000000001</v>
      </c>
      <c r="I125" s="15">
        <f t="shared" si="24"/>
        <v>20000</v>
      </c>
      <c r="J125" s="1">
        <f t="shared" si="25"/>
        <v>17801.440399999999</v>
      </c>
      <c r="K125" s="17">
        <f t="shared" si="26"/>
        <v>-2198.5596</v>
      </c>
      <c r="L125" s="9">
        <v>23000</v>
      </c>
      <c r="M125" s="1">
        <f t="shared" si="38"/>
        <v>10538.7</v>
      </c>
      <c r="N125" s="15">
        <v>13000</v>
      </c>
      <c r="O125" s="3">
        <v>8178.5302500000007</v>
      </c>
      <c r="P125" s="11">
        <f t="shared" si="27"/>
        <v>-4821.4697499999993</v>
      </c>
      <c r="Q125" s="15">
        <v>8000</v>
      </c>
      <c r="R125" s="3">
        <v>7299.6000799999993</v>
      </c>
      <c r="S125" s="22">
        <f t="shared" si="28"/>
        <v>-700.39992000000075</v>
      </c>
      <c r="T125" s="37">
        <f t="shared" si="29"/>
        <v>21000</v>
      </c>
      <c r="U125" s="2">
        <f t="shared" si="36"/>
        <v>15478.13033</v>
      </c>
      <c r="V125" s="20">
        <f t="shared" si="37"/>
        <v>-5521.86967</v>
      </c>
      <c r="W125" s="21">
        <v>20500</v>
      </c>
      <c r="X125" s="11">
        <f t="shared" si="39"/>
        <v>13261.233333333334</v>
      </c>
      <c r="Y125" s="69">
        <f t="shared" si="30"/>
        <v>41000</v>
      </c>
      <c r="Z125" s="1">
        <f t="shared" si="31"/>
        <v>33279.570729999999</v>
      </c>
      <c r="AA125" s="1">
        <f t="shared" si="32"/>
        <v>-7720.4292700000005</v>
      </c>
      <c r="AB125" s="70">
        <f t="shared" si="33"/>
        <v>43500</v>
      </c>
      <c r="AC125" s="1">
        <f t="shared" si="34"/>
        <v>23799.933333333334</v>
      </c>
      <c r="AD125" s="68">
        <f t="shared" si="35"/>
        <v>1.0609756097560976</v>
      </c>
    </row>
    <row r="126" spans="2:30" x14ac:dyDescent="0.35">
      <c r="B126" s="7">
        <v>46143</v>
      </c>
      <c r="C126" s="10">
        <v>5000</v>
      </c>
      <c r="D126" s="1">
        <v>3982.6</v>
      </c>
      <c r="E126" s="11">
        <f t="shared" si="22"/>
        <v>-1017.4000000000001</v>
      </c>
      <c r="F126" s="15">
        <v>17000</v>
      </c>
      <c r="G126" s="1">
        <v>13838.2</v>
      </c>
      <c r="H126" s="16">
        <f t="shared" si="23"/>
        <v>-3161.7999999999993</v>
      </c>
      <c r="I126" s="15">
        <f t="shared" si="24"/>
        <v>22000</v>
      </c>
      <c r="J126" s="1">
        <f t="shared" si="25"/>
        <v>17820.8</v>
      </c>
      <c r="K126" s="17">
        <f t="shared" si="26"/>
        <v>-4179.1999999999989</v>
      </c>
      <c r="L126" s="9">
        <v>23000</v>
      </c>
      <c r="M126" s="1" t="s">
        <v>11</v>
      </c>
      <c r="N126" s="15">
        <v>15000</v>
      </c>
      <c r="O126" s="1">
        <v>8413.74</v>
      </c>
      <c r="P126" s="11">
        <f t="shared" si="27"/>
        <v>-6586.26</v>
      </c>
      <c r="Q126" s="15">
        <v>10000</v>
      </c>
      <c r="R126" s="1">
        <v>6857.4</v>
      </c>
      <c r="S126" s="22">
        <f t="shared" si="28"/>
        <v>-3142.6000000000004</v>
      </c>
      <c r="T126" s="37">
        <f t="shared" si="29"/>
        <v>25000</v>
      </c>
      <c r="U126" s="2">
        <f t="shared" si="36"/>
        <v>15271.14</v>
      </c>
      <c r="V126" s="20">
        <f t="shared" si="37"/>
        <v>-9728.86</v>
      </c>
      <c r="W126" s="21">
        <v>20500</v>
      </c>
      <c r="X126" s="11" t="s">
        <v>11</v>
      </c>
      <c r="Y126" s="69">
        <f t="shared" si="30"/>
        <v>47000</v>
      </c>
      <c r="Z126" s="1">
        <f t="shared" si="31"/>
        <v>33091.94</v>
      </c>
      <c r="AA126" s="1">
        <f t="shared" si="32"/>
        <v>-13908.06</v>
      </c>
      <c r="AB126" s="70">
        <f t="shared" si="33"/>
        <v>43500</v>
      </c>
      <c r="AC126" s="1" t="e">
        <f t="shared" si="34"/>
        <v>#VALUE!</v>
      </c>
      <c r="AD126" s="68">
        <f t="shared" si="35"/>
        <v>0.92553191489361697</v>
      </c>
    </row>
    <row r="127" spans="2:30" x14ac:dyDescent="0.35">
      <c r="B127" s="7">
        <v>46144</v>
      </c>
      <c r="C127" s="10">
        <v>5000</v>
      </c>
      <c r="D127" s="1">
        <v>4571.5</v>
      </c>
      <c r="E127" s="11">
        <f t="shared" si="22"/>
        <v>-428.5</v>
      </c>
      <c r="F127" s="15">
        <v>17000</v>
      </c>
      <c r="G127" s="1">
        <v>13616.3</v>
      </c>
      <c r="H127" s="16">
        <f t="shared" si="23"/>
        <v>-3383.7000000000007</v>
      </c>
      <c r="I127" s="15">
        <f t="shared" si="24"/>
        <v>22000</v>
      </c>
      <c r="J127" s="1">
        <f t="shared" si="25"/>
        <v>18187.8</v>
      </c>
      <c r="K127" s="17">
        <f t="shared" si="26"/>
        <v>-3812.2000000000007</v>
      </c>
      <c r="L127" s="9">
        <v>23000</v>
      </c>
      <c r="M127" s="1" t="s">
        <v>11</v>
      </c>
      <c r="N127" s="15">
        <v>15000</v>
      </c>
      <c r="O127" s="1">
        <v>8950.7099999999991</v>
      </c>
      <c r="P127" s="11">
        <f t="shared" si="27"/>
        <v>-6049.2900000000009</v>
      </c>
      <c r="Q127" s="15">
        <v>10000</v>
      </c>
      <c r="R127" s="1">
        <v>6335</v>
      </c>
      <c r="S127" s="22">
        <f t="shared" si="28"/>
        <v>-3665</v>
      </c>
      <c r="T127" s="37">
        <f t="shared" si="29"/>
        <v>25000</v>
      </c>
      <c r="U127" s="2">
        <f t="shared" si="36"/>
        <v>15285.71</v>
      </c>
      <c r="V127" s="20">
        <f t="shared" si="37"/>
        <v>-9714.2900000000009</v>
      </c>
      <c r="W127" s="21">
        <v>20500</v>
      </c>
      <c r="X127" s="11" t="s">
        <v>11</v>
      </c>
      <c r="Y127" s="69">
        <f t="shared" si="30"/>
        <v>47000</v>
      </c>
      <c r="Z127" s="1">
        <f t="shared" si="31"/>
        <v>33473.509999999995</v>
      </c>
      <c r="AA127" s="1">
        <f t="shared" si="32"/>
        <v>-13526.490000000002</v>
      </c>
      <c r="AB127" s="70">
        <f t="shared" si="33"/>
        <v>43500</v>
      </c>
      <c r="AC127" s="1" t="e">
        <f t="shared" si="34"/>
        <v>#VALUE!</v>
      </c>
      <c r="AD127" s="68">
        <f t="shared" si="35"/>
        <v>0.92553191489361697</v>
      </c>
    </row>
    <row r="128" spans="2:30" x14ac:dyDescent="0.35">
      <c r="B128" s="7">
        <v>46145</v>
      </c>
      <c r="C128" s="10">
        <v>5000</v>
      </c>
      <c r="D128" s="1">
        <v>4858</v>
      </c>
      <c r="E128" s="11">
        <f t="shared" si="22"/>
        <v>-142</v>
      </c>
      <c r="F128" s="15">
        <v>17000</v>
      </c>
      <c r="G128" s="1">
        <v>13880.3</v>
      </c>
      <c r="H128" s="16">
        <f t="shared" si="23"/>
        <v>-3119.7000000000007</v>
      </c>
      <c r="I128" s="15">
        <f t="shared" si="24"/>
        <v>22000</v>
      </c>
      <c r="J128" s="1">
        <f t="shared" si="25"/>
        <v>18738.3</v>
      </c>
      <c r="K128" s="17">
        <f t="shared" si="26"/>
        <v>-3261.7000000000007</v>
      </c>
      <c r="L128" s="9">
        <v>23000</v>
      </c>
      <c r="M128" s="1" t="s">
        <v>11</v>
      </c>
      <c r="N128" s="15">
        <v>15000</v>
      </c>
      <c r="O128" s="1">
        <v>9201.9599999999991</v>
      </c>
      <c r="P128" s="11">
        <f t="shared" si="27"/>
        <v>-5798.0400000000009</v>
      </c>
      <c r="Q128" s="15">
        <v>10000</v>
      </c>
      <c r="R128" s="1">
        <v>7586.3</v>
      </c>
      <c r="S128" s="22">
        <f t="shared" si="28"/>
        <v>-2413.6999999999998</v>
      </c>
      <c r="T128" s="37">
        <f t="shared" si="29"/>
        <v>25000</v>
      </c>
      <c r="U128" s="2">
        <f t="shared" si="36"/>
        <v>16788.259999999998</v>
      </c>
      <c r="V128" s="20">
        <f t="shared" si="37"/>
        <v>-8211.7400000000016</v>
      </c>
      <c r="W128" s="21">
        <v>20500</v>
      </c>
      <c r="X128" s="11" t="s">
        <v>11</v>
      </c>
      <c r="Y128" s="69">
        <f t="shared" si="30"/>
        <v>47000</v>
      </c>
      <c r="Z128" s="1">
        <f t="shared" si="31"/>
        <v>35526.559999999998</v>
      </c>
      <c r="AA128" s="1">
        <f t="shared" si="32"/>
        <v>-11473.440000000002</v>
      </c>
      <c r="AB128" s="70">
        <f t="shared" si="33"/>
        <v>43500</v>
      </c>
      <c r="AC128" s="1" t="e">
        <f t="shared" si="34"/>
        <v>#VALUE!</v>
      </c>
      <c r="AD128" s="68">
        <f t="shared" si="35"/>
        <v>0.92553191489361697</v>
      </c>
    </row>
    <row r="129" spans="2:30" x14ac:dyDescent="0.35">
      <c r="B129" s="7">
        <v>46146</v>
      </c>
      <c r="C129" s="10">
        <v>5000</v>
      </c>
      <c r="D129" s="1">
        <v>4762.7</v>
      </c>
      <c r="E129" s="11">
        <f t="shared" si="22"/>
        <v>-237.30000000000018</v>
      </c>
      <c r="F129" s="15">
        <v>17000</v>
      </c>
      <c r="G129" s="1">
        <v>14079.1</v>
      </c>
      <c r="H129" s="16">
        <f t="shared" si="23"/>
        <v>-2920.8999999999996</v>
      </c>
      <c r="I129" s="15">
        <f t="shared" si="24"/>
        <v>22000</v>
      </c>
      <c r="J129" s="1">
        <f t="shared" si="25"/>
        <v>18841.8</v>
      </c>
      <c r="K129" s="17">
        <f t="shared" si="26"/>
        <v>-3158.2</v>
      </c>
      <c r="L129" s="9">
        <v>23000</v>
      </c>
      <c r="M129" s="1" t="s">
        <v>11</v>
      </c>
      <c r="N129" s="15">
        <v>15000</v>
      </c>
      <c r="O129" s="1">
        <v>9307.84</v>
      </c>
      <c r="P129" s="11">
        <f t="shared" si="27"/>
        <v>-5692.16</v>
      </c>
      <c r="Q129" s="15">
        <v>10000</v>
      </c>
      <c r="R129" s="1">
        <v>6993</v>
      </c>
      <c r="S129" s="22">
        <f t="shared" si="28"/>
        <v>-3007</v>
      </c>
      <c r="T129" s="37">
        <f t="shared" si="29"/>
        <v>25000</v>
      </c>
      <c r="U129" s="2">
        <f t="shared" si="36"/>
        <v>16300.84</v>
      </c>
      <c r="V129" s="20">
        <f t="shared" si="37"/>
        <v>-8699.16</v>
      </c>
      <c r="W129" s="21">
        <v>20500</v>
      </c>
      <c r="X129" s="11" t="s">
        <v>11</v>
      </c>
      <c r="Y129" s="69">
        <f t="shared" si="30"/>
        <v>47000</v>
      </c>
      <c r="Z129" s="1">
        <f t="shared" si="31"/>
        <v>35142.639999999999</v>
      </c>
      <c r="AA129" s="1">
        <f t="shared" si="32"/>
        <v>-11857.36</v>
      </c>
      <c r="AB129" s="70">
        <f t="shared" si="33"/>
        <v>43500</v>
      </c>
      <c r="AC129" s="1" t="e">
        <f t="shared" si="34"/>
        <v>#VALUE!</v>
      </c>
      <c r="AD129" s="68">
        <f t="shared" si="35"/>
        <v>0.92553191489361697</v>
      </c>
    </row>
    <row r="130" spans="2:30" ht="15" thickBot="1" x14ac:dyDescent="0.4">
      <c r="B130" s="7">
        <v>46147</v>
      </c>
      <c r="C130" s="24">
        <v>5000</v>
      </c>
      <c r="D130" s="3">
        <v>4799.7</v>
      </c>
      <c r="E130" s="12">
        <f t="shared" si="22"/>
        <v>-200.30000000000018</v>
      </c>
      <c r="F130" s="30">
        <v>17000</v>
      </c>
      <c r="G130" s="3">
        <v>14034.9</v>
      </c>
      <c r="H130" s="31">
        <f t="shared" si="23"/>
        <v>-2965.1000000000004</v>
      </c>
      <c r="I130" s="30">
        <f t="shared" si="24"/>
        <v>22000</v>
      </c>
      <c r="J130" s="3">
        <f t="shared" si="25"/>
        <v>18834.599999999999</v>
      </c>
      <c r="K130" s="18">
        <f t="shared" si="26"/>
        <v>-3165.4000000000005</v>
      </c>
      <c r="L130" s="14">
        <v>23000</v>
      </c>
      <c r="M130" s="3" t="s">
        <v>11</v>
      </c>
      <c r="N130" s="30">
        <v>15000</v>
      </c>
      <c r="O130" s="3">
        <v>9276.41</v>
      </c>
      <c r="P130" s="12">
        <f t="shared" si="27"/>
        <v>-5723.59</v>
      </c>
      <c r="Q130" s="30">
        <v>10000</v>
      </c>
      <c r="R130" s="3">
        <v>7108</v>
      </c>
      <c r="S130" s="35">
        <f t="shared" si="28"/>
        <v>-2892</v>
      </c>
      <c r="T130" s="38">
        <f t="shared" si="29"/>
        <v>25000</v>
      </c>
      <c r="U130" s="49">
        <f t="shared" si="36"/>
        <v>16384.41</v>
      </c>
      <c r="V130" s="39">
        <f t="shared" si="37"/>
        <v>-8615.59</v>
      </c>
      <c r="W130" s="36">
        <v>20500</v>
      </c>
      <c r="X130" s="12" t="s">
        <v>11</v>
      </c>
      <c r="Y130" s="71">
        <f t="shared" si="30"/>
        <v>47000</v>
      </c>
      <c r="Z130" s="3">
        <f t="shared" si="31"/>
        <v>35219.009999999995</v>
      </c>
      <c r="AA130" s="3">
        <f t="shared" si="32"/>
        <v>-11780.990000000002</v>
      </c>
      <c r="AB130" s="72">
        <f t="shared" si="33"/>
        <v>43500</v>
      </c>
      <c r="AC130" s="3" t="e">
        <f t="shared" si="34"/>
        <v>#VALUE!</v>
      </c>
      <c r="AD130" s="73">
        <f t="shared" si="35"/>
        <v>0.92553191489361697</v>
      </c>
    </row>
    <row r="131" spans="2:30" s="65" customFormat="1" ht="15" thickBot="1" x14ac:dyDescent="0.4">
      <c r="B131" s="56"/>
      <c r="C131" s="57">
        <f t="shared" ref="C131:L131" si="40">SUM(C6:C130)</f>
        <v>519500</v>
      </c>
      <c r="D131" s="58">
        <f t="shared" si="40"/>
        <v>369336.62951700005</v>
      </c>
      <c r="E131" s="59">
        <f t="shared" si="40"/>
        <v>-150163.37048299998</v>
      </c>
      <c r="F131" s="60">
        <f t="shared" si="40"/>
        <v>1345000</v>
      </c>
      <c r="G131" s="58">
        <f t="shared" si="40"/>
        <v>1037773.6654699998</v>
      </c>
      <c r="H131" s="61">
        <f t="shared" si="40"/>
        <v>-307226.33452999999</v>
      </c>
      <c r="I131" s="62">
        <f t="shared" si="40"/>
        <v>1864500</v>
      </c>
      <c r="J131" s="63">
        <f t="shared" si="40"/>
        <v>1407110.2949870001</v>
      </c>
      <c r="K131" s="64">
        <f t="shared" si="40"/>
        <v>-457389.70501300006</v>
      </c>
      <c r="L131" s="62">
        <f t="shared" si="40"/>
        <v>2173500</v>
      </c>
      <c r="M131" s="59">
        <f>SUM(C131:L131)</f>
        <v>7801941.1799479993</v>
      </c>
      <c r="N131" s="58">
        <f t="shared" ref="N131:U131" si="41">SUM(N6:N130)</f>
        <v>1095000</v>
      </c>
      <c r="O131" s="58">
        <f t="shared" si="41"/>
        <v>842980.96414000005</v>
      </c>
      <c r="P131" s="59">
        <f t="shared" si="41"/>
        <v>-252019.03585999997</v>
      </c>
      <c r="Q131" s="60">
        <f t="shared" si="41"/>
        <v>665500</v>
      </c>
      <c r="R131" s="58">
        <f t="shared" si="41"/>
        <v>550613.06337000022</v>
      </c>
      <c r="S131" s="59">
        <f t="shared" si="41"/>
        <v>-114886.93663000003</v>
      </c>
      <c r="T131" s="60">
        <f t="shared" si="41"/>
        <v>1760500</v>
      </c>
      <c r="U131" s="58">
        <f t="shared" si="41"/>
        <v>1393594.0275100002</v>
      </c>
      <c r="V131" s="59">
        <f t="shared" si="37"/>
        <v>-366905.97249000001</v>
      </c>
      <c r="W131" s="66">
        <f>SUM(W6:W130)</f>
        <v>2247500</v>
      </c>
      <c r="X131" s="67">
        <f>SUM(N131:W131)</f>
        <v>7821876.1100400016</v>
      </c>
      <c r="Y131" s="74">
        <f>SUM(Y6:Y130)</f>
        <v>3625000</v>
      </c>
      <c r="Z131" s="75">
        <f>SUM(Z6:Z130)</f>
        <v>2800704.3224969995</v>
      </c>
      <c r="AA131" s="75">
        <f>SUM(AA6:AA130)</f>
        <v>-824295.67750300013</v>
      </c>
      <c r="AB131" s="75">
        <f>SUM(AB6:AB130)</f>
        <v>4421000</v>
      </c>
      <c r="AC131" s="75"/>
      <c r="AD131" s="76">
        <f t="shared" si="35"/>
        <v>1.2195862068965517</v>
      </c>
    </row>
    <row r="132" spans="2:30" x14ac:dyDescent="0.35">
      <c r="B132" s="7">
        <v>46148</v>
      </c>
      <c r="C132" s="50"/>
      <c r="D132" s="44"/>
      <c r="E132" s="51"/>
      <c r="F132" s="52"/>
      <c r="G132" s="44"/>
      <c r="H132" s="51"/>
      <c r="I132" s="52"/>
      <c r="J132" s="44"/>
      <c r="K132" s="51"/>
      <c r="L132" s="52"/>
      <c r="M132" s="51"/>
      <c r="N132" s="52"/>
      <c r="O132" s="44"/>
      <c r="P132" s="53"/>
      <c r="Q132" s="52"/>
      <c r="R132" s="44"/>
      <c r="S132" s="51"/>
      <c r="T132" s="54"/>
      <c r="U132" s="44"/>
      <c r="V132" s="55"/>
      <c r="W132" s="52"/>
      <c r="X132" s="53"/>
      <c r="Y132" s="32"/>
      <c r="Z132" s="25"/>
      <c r="AA132" s="25"/>
      <c r="AB132" s="25"/>
      <c r="AC132" s="25"/>
      <c r="AD132" s="26"/>
    </row>
    <row r="133" spans="2:30" x14ac:dyDescent="0.35">
      <c r="B133" s="7">
        <v>46149</v>
      </c>
      <c r="C133" s="10"/>
      <c r="D133" s="4"/>
      <c r="E133" s="27"/>
      <c r="F133" s="33"/>
      <c r="G133" s="4"/>
      <c r="H133" s="27"/>
      <c r="I133" s="33"/>
      <c r="J133" s="4"/>
      <c r="K133" s="27"/>
      <c r="L133" s="33"/>
      <c r="M133" s="27"/>
      <c r="N133" s="33"/>
      <c r="O133" s="4"/>
      <c r="P133" s="8"/>
      <c r="Q133" s="33"/>
      <c r="R133" s="4"/>
      <c r="S133" s="27"/>
      <c r="T133" s="42"/>
      <c r="U133" s="4"/>
      <c r="V133" s="40"/>
      <c r="W133" s="33"/>
      <c r="X133" s="8"/>
      <c r="Y133" s="33"/>
      <c r="Z133" s="4"/>
      <c r="AA133" s="4"/>
      <c r="AB133" s="4"/>
      <c r="AC133" s="4"/>
      <c r="AD133" s="27"/>
    </row>
    <row r="134" spans="2:30" x14ac:dyDescent="0.35">
      <c r="B134" s="7">
        <v>46150</v>
      </c>
      <c r="C134" s="10"/>
      <c r="D134" s="4"/>
      <c r="E134" s="27"/>
      <c r="F134" s="33"/>
      <c r="G134" s="4"/>
      <c r="H134" s="27"/>
      <c r="I134" s="33"/>
      <c r="J134" s="4"/>
      <c r="K134" s="27"/>
      <c r="L134" s="33"/>
      <c r="M134" s="27"/>
      <c r="N134" s="33"/>
      <c r="O134" s="4"/>
      <c r="P134" s="8"/>
      <c r="Q134" s="33"/>
      <c r="R134" s="4"/>
      <c r="S134" s="27"/>
      <c r="T134" s="42"/>
      <c r="U134" s="4"/>
      <c r="V134" s="40"/>
      <c r="W134" s="33"/>
      <c r="X134" s="8"/>
      <c r="Y134" s="33"/>
      <c r="Z134" s="4"/>
      <c r="AA134" s="4"/>
      <c r="AB134" s="4"/>
      <c r="AC134" s="4"/>
      <c r="AD134" s="27"/>
    </row>
    <row r="135" spans="2:30" x14ac:dyDescent="0.35">
      <c r="B135" s="7">
        <v>46151</v>
      </c>
      <c r="C135" s="10"/>
      <c r="D135" s="4"/>
      <c r="E135" s="27"/>
      <c r="F135" s="33"/>
      <c r="G135" s="4"/>
      <c r="H135" s="27"/>
      <c r="I135" s="33"/>
      <c r="J135" s="4"/>
      <c r="K135" s="27"/>
      <c r="L135" s="33"/>
      <c r="M135" s="27"/>
      <c r="N135" s="33"/>
      <c r="O135" s="4"/>
      <c r="P135" s="8"/>
      <c r="Q135" s="33"/>
      <c r="R135" s="4"/>
      <c r="S135" s="27"/>
      <c r="T135" s="42"/>
      <c r="U135" s="4"/>
      <c r="V135" s="40"/>
      <c r="W135" s="33"/>
      <c r="X135" s="8"/>
      <c r="Y135" s="33"/>
      <c r="Z135" s="4"/>
      <c r="AA135" s="4"/>
      <c r="AB135" s="4"/>
      <c r="AC135" s="4"/>
      <c r="AD135" s="27"/>
    </row>
    <row r="136" spans="2:30" x14ac:dyDescent="0.35">
      <c r="B136" s="7">
        <v>46152</v>
      </c>
      <c r="C136" s="10"/>
      <c r="D136" s="4"/>
      <c r="E136" s="27"/>
      <c r="F136" s="33"/>
      <c r="G136" s="4"/>
      <c r="H136" s="27"/>
      <c r="I136" s="33"/>
      <c r="J136" s="4"/>
      <c r="K136" s="27"/>
      <c r="L136" s="33"/>
      <c r="M136" s="27"/>
      <c r="N136" s="33"/>
      <c r="O136" s="4"/>
      <c r="P136" s="8"/>
      <c r="Q136" s="33"/>
      <c r="R136" s="4"/>
      <c r="S136" s="27"/>
      <c r="T136" s="42"/>
      <c r="U136" s="4"/>
      <c r="V136" s="40"/>
      <c r="W136" s="33"/>
      <c r="X136" s="8"/>
      <c r="Y136" s="33"/>
      <c r="Z136" s="4"/>
      <c r="AA136" s="4"/>
      <c r="AB136" s="4"/>
      <c r="AC136" s="4"/>
      <c r="AD136" s="27"/>
    </row>
    <row r="137" spans="2:30" x14ac:dyDescent="0.35">
      <c r="B137" s="7">
        <v>46153</v>
      </c>
      <c r="C137" s="10"/>
      <c r="D137" s="4"/>
      <c r="E137" s="27"/>
      <c r="F137" s="33"/>
      <c r="G137" s="4"/>
      <c r="H137" s="27"/>
      <c r="I137" s="33"/>
      <c r="J137" s="4"/>
      <c r="K137" s="27"/>
      <c r="L137" s="33"/>
      <c r="M137" s="27"/>
      <c r="N137" s="33"/>
      <c r="O137" s="4"/>
      <c r="P137" s="8"/>
      <c r="Q137" s="33"/>
      <c r="R137" s="4"/>
      <c r="S137" s="27"/>
      <c r="T137" s="42"/>
      <c r="U137" s="4"/>
      <c r="V137" s="40"/>
      <c r="W137" s="33"/>
      <c r="X137" s="8"/>
      <c r="Y137" s="33"/>
      <c r="Z137" s="4"/>
      <c r="AA137" s="4"/>
      <c r="AB137" s="4"/>
      <c r="AC137" s="4"/>
      <c r="AD137" s="27"/>
    </row>
    <row r="138" spans="2:30" x14ac:dyDescent="0.35">
      <c r="B138" s="7">
        <v>46154</v>
      </c>
      <c r="C138" s="10"/>
      <c r="D138" s="4"/>
      <c r="E138" s="27"/>
      <c r="F138" s="33"/>
      <c r="G138" s="4"/>
      <c r="H138" s="27"/>
      <c r="I138" s="33"/>
      <c r="J138" s="4"/>
      <c r="K138" s="27"/>
      <c r="L138" s="33"/>
      <c r="M138" s="27"/>
      <c r="N138" s="33"/>
      <c r="O138" s="4"/>
      <c r="P138" s="8"/>
      <c r="Q138" s="33"/>
      <c r="R138" s="4"/>
      <c r="S138" s="27"/>
      <c r="T138" s="42"/>
      <c r="U138" s="4"/>
      <c r="V138" s="40"/>
      <c r="W138" s="33"/>
      <c r="X138" s="8"/>
      <c r="Y138" s="33"/>
      <c r="Z138" s="4"/>
      <c r="AA138" s="4"/>
      <c r="AB138" s="4"/>
      <c r="AC138" s="4"/>
      <c r="AD138" s="27"/>
    </row>
    <row r="139" spans="2:30" x14ac:dyDescent="0.35">
      <c r="B139" s="7">
        <v>46155</v>
      </c>
      <c r="C139" s="10"/>
      <c r="D139" s="4"/>
      <c r="E139" s="27"/>
      <c r="F139" s="33"/>
      <c r="G139" s="4"/>
      <c r="H139" s="27"/>
      <c r="I139" s="33"/>
      <c r="J139" s="4"/>
      <c r="K139" s="27"/>
      <c r="L139" s="33"/>
      <c r="M139" s="27"/>
      <c r="N139" s="33"/>
      <c r="O139" s="4"/>
      <c r="P139" s="8"/>
      <c r="Q139" s="33"/>
      <c r="R139" s="4"/>
      <c r="S139" s="27"/>
      <c r="T139" s="42"/>
      <c r="U139" s="4"/>
      <c r="V139" s="40"/>
      <c r="W139" s="33"/>
      <c r="X139" s="8"/>
      <c r="Y139" s="33"/>
      <c r="Z139" s="4"/>
      <c r="AA139" s="4"/>
      <c r="AB139" s="4"/>
      <c r="AC139" s="4"/>
      <c r="AD139" s="27"/>
    </row>
    <row r="140" spans="2:30" x14ac:dyDescent="0.35">
      <c r="B140" s="7">
        <v>46156</v>
      </c>
      <c r="C140" s="10"/>
      <c r="D140" s="4"/>
      <c r="E140" s="27"/>
      <c r="F140" s="33"/>
      <c r="G140" s="4"/>
      <c r="H140" s="27"/>
      <c r="I140" s="33"/>
      <c r="J140" s="4"/>
      <c r="K140" s="27"/>
      <c r="L140" s="33"/>
      <c r="M140" s="27"/>
      <c r="N140" s="33"/>
      <c r="O140" s="4"/>
      <c r="P140" s="8"/>
      <c r="Q140" s="33"/>
      <c r="R140" s="4"/>
      <c r="S140" s="27"/>
      <c r="T140" s="42"/>
      <c r="U140" s="4"/>
      <c r="V140" s="40"/>
      <c r="W140" s="33"/>
      <c r="X140" s="8"/>
      <c r="Y140" s="33"/>
      <c r="Z140" s="4"/>
      <c r="AA140" s="4"/>
      <c r="AB140" s="4"/>
      <c r="AC140" s="4"/>
      <c r="AD140" s="27"/>
    </row>
    <row r="141" spans="2:30" x14ac:dyDescent="0.35">
      <c r="B141" s="7">
        <v>46157</v>
      </c>
      <c r="C141" s="10"/>
      <c r="D141" s="4"/>
      <c r="E141" s="27"/>
      <c r="F141" s="33"/>
      <c r="G141" s="4"/>
      <c r="H141" s="27"/>
      <c r="I141" s="33"/>
      <c r="J141" s="4"/>
      <c r="K141" s="27"/>
      <c r="L141" s="33"/>
      <c r="M141" s="27"/>
      <c r="N141" s="33"/>
      <c r="O141" s="4"/>
      <c r="P141" s="8"/>
      <c r="Q141" s="33"/>
      <c r="R141" s="4"/>
      <c r="S141" s="27"/>
      <c r="T141" s="42"/>
      <c r="U141" s="4"/>
      <c r="V141" s="40"/>
      <c r="W141" s="33"/>
      <c r="X141" s="8"/>
      <c r="Y141" s="33"/>
      <c r="Z141" s="4"/>
      <c r="AA141" s="4"/>
      <c r="AB141" s="4"/>
      <c r="AC141" s="4"/>
      <c r="AD141" s="27"/>
    </row>
    <row r="142" spans="2:30" x14ac:dyDescent="0.35">
      <c r="B142" s="7">
        <v>46158</v>
      </c>
      <c r="C142" s="10"/>
      <c r="D142" s="4"/>
      <c r="E142" s="27"/>
      <c r="F142" s="33"/>
      <c r="G142" s="4"/>
      <c r="H142" s="27"/>
      <c r="I142" s="33"/>
      <c r="J142" s="4"/>
      <c r="K142" s="27"/>
      <c r="L142" s="33"/>
      <c r="M142" s="27"/>
      <c r="N142" s="33"/>
      <c r="O142" s="4"/>
      <c r="P142" s="8"/>
      <c r="Q142" s="33"/>
      <c r="R142" s="4"/>
      <c r="S142" s="27"/>
      <c r="T142" s="42"/>
      <c r="U142" s="4"/>
      <c r="V142" s="40"/>
      <c r="W142" s="33"/>
      <c r="X142" s="8"/>
      <c r="Y142" s="33"/>
      <c r="Z142" s="4"/>
      <c r="AA142" s="4"/>
      <c r="AB142" s="4"/>
      <c r="AC142" s="4"/>
      <c r="AD142" s="27"/>
    </row>
    <row r="143" spans="2:30" x14ac:dyDescent="0.35">
      <c r="B143" s="7">
        <v>46159</v>
      </c>
      <c r="C143" s="10"/>
      <c r="D143" s="4"/>
      <c r="E143" s="27"/>
      <c r="F143" s="33"/>
      <c r="G143" s="4"/>
      <c r="H143" s="27"/>
      <c r="I143" s="33"/>
      <c r="J143" s="4"/>
      <c r="K143" s="27"/>
      <c r="L143" s="33"/>
      <c r="M143" s="27"/>
      <c r="N143" s="33"/>
      <c r="O143" s="4"/>
      <c r="P143" s="8"/>
      <c r="Q143" s="33"/>
      <c r="R143" s="4"/>
      <c r="S143" s="27"/>
      <c r="T143" s="42"/>
      <c r="U143" s="4"/>
      <c r="V143" s="40"/>
      <c r="W143" s="33"/>
      <c r="X143" s="8"/>
      <c r="Y143" s="33"/>
      <c r="Z143" s="4"/>
      <c r="AA143" s="4"/>
      <c r="AB143" s="4"/>
      <c r="AC143" s="4"/>
      <c r="AD143" s="27"/>
    </row>
    <row r="144" spans="2:30" x14ac:dyDescent="0.35">
      <c r="B144" s="7">
        <v>46160</v>
      </c>
      <c r="C144" s="10"/>
      <c r="D144" s="4"/>
      <c r="E144" s="27"/>
      <c r="F144" s="33"/>
      <c r="G144" s="4"/>
      <c r="H144" s="27"/>
      <c r="I144" s="33"/>
      <c r="J144" s="4"/>
      <c r="K144" s="27"/>
      <c r="L144" s="33"/>
      <c r="M144" s="27"/>
      <c r="N144" s="33"/>
      <c r="O144" s="4"/>
      <c r="P144" s="8"/>
      <c r="Q144" s="33"/>
      <c r="R144" s="4"/>
      <c r="S144" s="27"/>
      <c r="T144" s="42"/>
      <c r="U144" s="4"/>
      <c r="V144" s="40"/>
      <c r="W144" s="33"/>
      <c r="X144" s="8"/>
      <c r="Y144" s="33"/>
      <c r="Z144" s="4"/>
      <c r="AA144" s="4"/>
      <c r="AB144" s="4"/>
      <c r="AC144" s="4"/>
      <c r="AD144" s="27"/>
    </row>
    <row r="145" spans="2:30" x14ac:dyDescent="0.35">
      <c r="B145" s="7">
        <v>46161</v>
      </c>
      <c r="C145" s="10"/>
      <c r="D145" s="4"/>
      <c r="E145" s="27"/>
      <c r="F145" s="33"/>
      <c r="G145" s="4"/>
      <c r="H145" s="27"/>
      <c r="I145" s="33"/>
      <c r="J145" s="4"/>
      <c r="K145" s="27"/>
      <c r="L145" s="33"/>
      <c r="M145" s="27"/>
      <c r="N145" s="33"/>
      <c r="O145" s="4"/>
      <c r="P145" s="8"/>
      <c r="Q145" s="33"/>
      <c r="R145" s="4"/>
      <c r="S145" s="27"/>
      <c r="T145" s="42"/>
      <c r="U145" s="4"/>
      <c r="V145" s="40"/>
      <c r="W145" s="33"/>
      <c r="X145" s="8"/>
      <c r="Y145" s="33"/>
      <c r="Z145" s="4"/>
      <c r="AA145" s="4"/>
      <c r="AB145" s="4"/>
      <c r="AC145" s="4"/>
      <c r="AD145" s="27"/>
    </row>
    <row r="146" spans="2:30" x14ac:dyDescent="0.35">
      <c r="B146" s="7">
        <v>46162</v>
      </c>
      <c r="C146" s="10"/>
      <c r="D146" s="4"/>
      <c r="E146" s="27"/>
      <c r="F146" s="33"/>
      <c r="G146" s="4"/>
      <c r="H146" s="27"/>
      <c r="I146" s="33"/>
      <c r="J146" s="4"/>
      <c r="K146" s="27"/>
      <c r="L146" s="33"/>
      <c r="M146" s="27"/>
      <c r="N146" s="33"/>
      <c r="O146" s="4"/>
      <c r="P146" s="8"/>
      <c r="Q146" s="33"/>
      <c r="R146" s="4"/>
      <c r="S146" s="27"/>
      <c r="T146" s="42"/>
      <c r="U146" s="4"/>
      <c r="V146" s="40"/>
      <c r="W146" s="33"/>
      <c r="X146" s="8"/>
      <c r="Y146" s="33"/>
      <c r="Z146" s="4"/>
      <c r="AA146" s="4"/>
      <c r="AB146" s="4"/>
      <c r="AC146" s="4"/>
      <c r="AD146" s="27"/>
    </row>
    <row r="147" spans="2:30" x14ac:dyDescent="0.35">
      <c r="B147" s="7">
        <v>46163</v>
      </c>
      <c r="C147" s="10"/>
      <c r="D147" s="4"/>
      <c r="E147" s="27"/>
      <c r="F147" s="33"/>
      <c r="G147" s="4"/>
      <c r="H147" s="27"/>
      <c r="I147" s="33"/>
      <c r="J147" s="4"/>
      <c r="K147" s="27"/>
      <c r="L147" s="33"/>
      <c r="M147" s="27"/>
      <c r="N147" s="33"/>
      <c r="O147" s="4"/>
      <c r="P147" s="8"/>
      <c r="Q147" s="33"/>
      <c r="R147" s="4"/>
      <c r="S147" s="27"/>
      <c r="T147" s="42"/>
      <c r="U147" s="4"/>
      <c r="V147" s="40"/>
      <c r="W147" s="33"/>
      <c r="X147" s="8"/>
      <c r="Y147" s="33"/>
      <c r="Z147" s="4"/>
      <c r="AA147" s="4"/>
      <c r="AB147" s="4"/>
      <c r="AC147" s="4"/>
      <c r="AD147" s="27"/>
    </row>
    <row r="148" spans="2:30" x14ac:dyDescent="0.35">
      <c r="B148" s="7">
        <v>46164</v>
      </c>
      <c r="C148" s="10"/>
      <c r="D148" s="4"/>
      <c r="E148" s="27"/>
      <c r="F148" s="33"/>
      <c r="G148" s="4"/>
      <c r="H148" s="27"/>
      <c r="I148" s="33"/>
      <c r="J148" s="4"/>
      <c r="K148" s="27"/>
      <c r="L148" s="33"/>
      <c r="M148" s="27"/>
      <c r="N148" s="33"/>
      <c r="O148" s="4"/>
      <c r="P148" s="8"/>
      <c r="Q148" s="33"/>
      <c r="R148" s="4"/>
      <c r="S148" s="27"/>
      <c r="T148" s="42"/>
      <c r="U148" s="4"/>
      <c r="V148" s="40"/>
      <c r="W148" s="33"/>
      <c r="X148" s="8"/>
      <c r="Y148" s="33"/>
      <c r="Z148" s="4"/>
      <c r="AA148" s="4"/>
      <c r="AB148" s="4"/>
      <c r="AC148" s="4"/>
      <c r="AD148" s="27"/>
    </row>
    <row r="149" spans="2:30" x14ac:dyDescent="0.35">
      <c r="B149" s="7">
        <v>46165</v>
      </c>
      <c r="C149" s="10"/>
      <c r="D149" s="4"/>
      <c r="E149" s="27"/>
      <c r="F149" s="33"/>
      <c r="G149" s="4"/>
      <c r="H149" s="27"/>
      <c r="I149" s="33"/>
      <c r="J149" s="4"/>
      <c r="K149" s="27"/>
      <c r="L149" s="33"/>
      <c r="M149" s="27"/>
      <c r="N149" s="33"/>
      <c r="O149" s="4"/>
      <c r="P149" s="8"/>
      <c r="Q149" s="33"/>
      <c r="R149" s="4"/>
      <c r="S149" s="27"/>
      <c r="T149" s="23"/>
      <c r="U149" s="4"/>
      <c r="V149" s="27"/>
      <c r="W149" s="33"/>
      <c r="X149" s="8"/>
      <c r="Y149" s="33"/>
      <c r="Z149" s="4"/>
      <c r="AA149" s="4"/>
      <c r="AB149" s="4"/>
      <c r="AC149" s="4"/>
      <c r="AD149" s="27"/>
    </row>
    <row r="150" spans="2:30" x14ac:dyDescent="0.35">
      <c r="B150" s="7">
        <v>46166</v>
      </c>
      <c r="C150" s="10"/>
      <c r="D150" s="4"/>
      <c r="E150" s="27"/>
      <c r="F150" s="33"/>
      <c r="G150" s="4"/>
      <c r="H150" s="27"/>
      <c r="I150" s="33"/>
      <c r="J150" s="4"/>
      <c r="K150" s="27"/>
      <c r="L150" s="33"/>
      <c r="M150" s="27"/>
      <c r="N150" s="33"/>
      <c r="O150" s="4"/>
      <c r="P150" s="8"/>
      <c r="Q150" s="33"/>
      <c r="R150" s="4"/>
      <c r="S150" s="27"/>
      <c r="T150" s="23"/>
      <c r="U150" s="4"/>
      <c r="V150" s="27"/>
      <c r="W150" s="33"/>
      <c r="X150" s="8"/>
      <c r="Y150" s="33"/>
      <c r="Z150" s="4"/>
      <c r="AA150" s="4"/>
      <c r="AB150" s="4"/>
      <c r="AC150" s="4"/>
      <c r="AD150" s="27"/>
    </row>
    <row r="151" spans="2:30" x14ac:dyDescent="0.35">
      <c r="B151" s="7">
        <v>46167</v>
      </c>
      <c r="C151" s="10"/>
      <c r="D151" s="4"/>
      <c r="E151" s="27"/>
      <c r="F151" s="33"/>
      <c r="G151" s="4"/>
      <c r="H151" s="27"/>
      <c r="I151" s="33"/>
      <c r="J151" s="4"/>
      <c r="K151" s="27"/>
      <c r="L151" s="33"/>
      <c r="M151" s="27"/>
      <c r="N151" s="33"/>
      <c r="O151" s="4"/>
      <c r="P151" s="8"/>
      <c r="Q151" s="33"/>
      <c r="R151" s="4"/>
      <c r="S151" s="27"/>
      <c r="T151" s="23"/>
      <c r="U151" s="4"/>
      <c r="V151" s="27"/>
      <c r="W151" s="33"/>
      <c r="X151" s="8"/>
      <c r="Y151" s="33"/>
      <c r="Z151" s="4"/>
      <c r="AA151" s="4"/>
      <c r="AB151" s="4"/>
      <c r="AC151" s="4"/>
      <c r="AD151" s="27"/>
    </row>
    <row r="152" spans="2:30" x14ac:dyDescent="0.35">
      <c r="B152" s="7">
        <v>46168</v>
      </c>
      <c r="C152" s="10"/>
      <c r="D152" s="4"/>
      <c r="E152" s="27"/>
      <c r="F152" s="33"/>
      <c r="G152" s="4"/>
      <c r="H152" s="27"/>
      <c r="I152" s="33"/>
      <c r="J152" s="4"/>
      <c r="K152" s="27"/>
      <c r="L152" s="33"/>
      <c r="M152" s="27"/>
      <c r="N152" s="33"/>
      <c r="O152" s="4"/>
      <c r="P152" s="8"/>
      <c r="Q152" s="33"/>
      <c r="R152" s="4"/>
      <c r="S152" s="27"/>
      <c r="T152" s="23"/>
      <c r="U152" s="4"/>
      <c r="V152" s="27"/>
      <c r="W152" s="33"/>
      <c r="X152" s="8"/>
      <c r="Y152" s="33"/>
      <c r="Z152" s="4"/>
      <c r="AA152" s="4"/>
      <c r="AB152" s="4"/>
      <c r="AC152" s="4"/>
      <c r="AD152" s="27"/>
    </row>
    <row r="153" spans="2:30" x14ac:dyDescent="0.35">
      <c r="B153" s="7">
        <v>46169</v>
      </c>
      <c r="C153" s="10"/>
      <c r="D153" s="4"/>
      <c r="E153" s="27"/>
      <c r="F153" s="33"/>
      <c r="G153" s="4"/>
      <c r="H153" s="27"/>
      <c r="I153" s="33"/>
      <c r="J153" s="4"/>
      <c r="K153" s="27"/>
      <c r="L153" s="33"/>
      <c r="M153" s="27"/>
      <c r="N153" s="33"/>
      <c r="O153" s="4"/>
      <c r="P153" s="8"/>
      <c r="Q153" s="33"/>
      <c r="R153" s="4"/>
      <c r="S153" s="27"/>
      <c r="T153" s="23"/>
      <c r="U153" s="4"/>
      <c r="V153" s="27"/>
      <c r="W153" s="33"/>
      <c r="X153" s="8"/>
      <c r="Y153" s="33"/>
      <c r="Z153" s="4"/>
      <c r="AA153" s="4"/>
      <c r="AB153" s="4"/>
      <c r="AC153" s="4"/>
      <c r="AD153" s="27"/>
    </row>
    <row r="154" spans="2:30" x14ac:dyDescent="0.35">
      <c r="B154" s="7">
        <v>46170</v>
      </c>
      <c r="C154" s="10"/>
      <c r="D154" s="4"/>
      <c r="E154" s="27"/>
      <c r="F154" s="33"/>
      <c r="G154" s="4"/>
      <c r="H154" s="27"/>
      <c r="I154" s="33"/>
      <c r="J154" s="4"/>
      <c r="K154" s="27"/>
      <c r="L154" s="33"/>
      <c r="M154" s="27"/>
      <c r="N154" s="33"/>
      <c r="O154" s="4"/>
      <c r="P154" s="8"/>
      <c r="Q154" s="33"/>
      <c r="R154" s="4"/>
      <c r="S154" s="27"/>
      <c r="T154" s="23"/>
      <c r="U154" s="4"/>
      <c r="V154" s="27"/>
      <c r="W154" s="33"/>
      <c r="X154" s="8"/>
      <c r="Y154" s="33"/>
      <c r="Z154" s="4"/>
      <c r="AA154" s="4"/>
      <c r="AB154" s="4"/>
      <c r="AC154" s="4"/>
      <c r="AD154" s="27"/>
    </row>
    <row r="155" spans="2:30" x14ac:dyDescent="0.35">
      <c r="B155" s="7">
        <v>46171</v>
      </c>
      <c r="C155" s="10"/>
      <c r="D155" s="4"/>
      <c r="E155" s="27"/>
      <c r="F155" s="33"/>
      <c r="G155" s="4"/>
      <c r="H155" s="27"/>
      <c r="I155" s="33"/>
      <c r="J155" s="4"/>
      <c r="K155" s="27"/>
      <c r="L155" s="33"/>
      <c r="M155" s="27"/>
      <c r="N155" s="33"/>
      <c r="O155" s="4"/>
      <c r="P155" s="8"/>
      <c r="Q155" s="33"/>
      <c r="R155" s="4"/>
      <c r="S155" s="27"/>
      <c r="T155" s="23"/>
      <c r="U155" s="4"/>
      <c r="V155" s="27"/>
      <c r="W155" s="33"/>
      <c r="X155" s="8"/>
      <c r="Y155" s="33"/>
      <c r="Z155" s="4"/>
      <c r="AA155" s="4"/>
      <c r="AB155" s="4"/>
      <c r="AC155" s="4"/>
      <c r="AD155" s="27"/>
    </row>
    <row r="156" spans="2:30" x14ac:dyDescent="0.35">
      <c r="B156" s="7">
        <v>46172</v>
      </c>
      <c r="C156" s="10"/>
      <c r="D156" s="4"/>
      <c r="E156" s="27"/>
      <c r="F156" s="33"/>
      <c r="G156" s="4"/>
      <c r="H156" s="27"/>
      <c r="I156" s="33"/>
      <c r="J156" s="4"/>
      <c r="K156" s="27"/>
      <c r="L156" s="33"/>
      <c r="M156" s="27"/>
      <c r="N156" s="33"/>
      <c r="O156" s="4"/>
      <c r="P156" s="8"/>
      <c r="Q156" s="33"/>
      <c r="R156" s="4"/>
      <c r="S156" s="27"/>
      <c r="T156" s="23"/>
      <c r="U156" s="4"/>
      <c r="V156" s="27"/>
      <c r="W156" s="33"/>
      <c r="X156" s="8"/>
      <c r="Y156" s="33"/>
      <c r="Z156" s="4"/>
      <c r="AA156" s="4"/>
      <c r="AB156" s="4"/>
      <c r="AC156" s="4"/>
      <c r="AD156" s="27"/>
    </row>
    <row r="157" spans="2:30" x14ac:dyDescent="0.35">
      <c r="B157" s="7">
        <v>46173</v>
      </c>
      <c r="C157" s="10"/>
      <c r="D157" s="4"/>
      <c r="E157" s="27"/>
      <c r="F157" s="33"/>
      <c r="G157" s="4"/>
      <c r="H157" s="27"/>
      <c r="I157" s="33"/>
      <c r="J157" s="4"/>
      <c r="K157" s="27"/>
      <c r="L157" s="33"/>
      <c r="M157" s="27"/>
      <c r="N157" s="33"/>
      <c r="O157" s="4"/>
      <c r="P157" s="8"/>
      <c r="Q157" s="33"/>
      <c r="R157" s="4"/>
      <c r="S157" s="27"/>
      <c r="T157" s="23"/>
      <c r="U157" s="4"/>
      <c r="V157" s="27"/>
      <c r="W157" s="33"/>
      <c r="X157" s="8"/>
      <c r="Y157" s="33"/>
      <c r="Z157" s="4"/>
      <c r="AA157" s="4"/>
      <c r="AB157" s="4"/>
      <c r="AC157" s="4"/>
      <c r="AD157" s="27"/>
    </row>
    <row r="158" spans="2:30" x14ac:dyDescent="0.35">
      <c r="B158" s="7">
        <v>46174</v>
      </c>
      <c r="C158" s="10"/>
      <c r="D158" s="4"/>
      <c r="E158" s="27"/>
      <c r="F158" s="33"/>
      <c r="G158" s="4"/>
      <c r="H158" s="27"/>
      <c r="I158" s="33"/>
      <c r="J158" s="4"/>
      <c r="K158" s="27"/>
      <c r="L158" s="33"/>
      <c r="M158" s="27"/>
      <c r="N158" s="33"/>
      <c r="O158" s="4"/>
      <c r="P158" s="8"/>
      <c r="Q158" s="33"/>
      <c r="R158" s="4"/>
      <c r="S158" s="27"/>
      <c r="T158" s="23"/>
      <c r="U158" s="4"/>
      <c r="V158" s="27"/>
      <c r="W158" s="33"/>
      <c r="X158" s="8"/>
      <c r="Y158" s="33"/>
      <c r="Z158" s="4"/>
      <c r="AA158" s="4"/>
      <c r="AB158" s="4"/>
      <c r="AC158" s="4"/>
      <c r="AD158" s="27"/>
    </row>
    <row r="159" spans="2:30" x14ac:dyDescent="0.35">
      <c r="B159" s="7">
        <v>46175</v>
      </c>
      <c r="C159" s="10"/>
      <c r="D159" s="4"/>
      <c r="E159" s="27"/>
      <c r="F159" s="33"/>
      <c r="G159" s="4"/>
      <c r="H159" s="27"/>
      <c r="I159" s="33"/>
      <c r="J159" s="4"/>
      <c r="K159" s="27"/>
      <c r="L159" s="33"/>
      <c r="M159" s="27"/>
      <c r="N159" s="33"/>
      <c r="O159" s="4"/>
      <c r="P159" s="8"/>
      <c r="Q159" s="33"/>
      <c r="R159" s="4"/>
      <c r="S159" s="27"/>
      <c r="T159" s="23"/>
      <c r="U159" s="4"/>
      <c r="V159" s="27"/>
      <c r="W159" s="33"/>
      <c r="X159" s="8"/>
      <c r="Y159" s="33"/>
      <c r="Z159" s="4"/>
      <c r="AA159" s="4"/>
      <c r="AB159" s="4"/>
      <c r="AC159" s="4"/>
      <c r="AD159" s="27"/>
    </row>
    <row r="160" spans="2:30" x14ac:dyDescent="0.35">
      <c r="B160" s="7">
        <v>46176</v>
      </c>
      <c r="C160" s="10"/>
      <c r="D160" s="4"/>
      <c r="E160" s="27"/>
      <c r="F160" s="33"/>
      <c r="G160" s="4"/>
      <c r="H160" s="27"/>
      <c r="I160" s="33"/>
      <c r="J160" s="4"/>
      <c r="K160" s="27"/>
      <c r="L160" s="33"/>
      <c r="M160" s="27"/>
      <c r="N160" s="33"/>
      <c r="O160" s="4"/>
      <c r="P160" s="8"/>
      <c r="Q160" s="33"/>
      <c r="R160" s="4"/>
      <c r="S160" s="27"/>
      <c r="T160" s="23"/>
      <c r="U160" s="4"/>
      <c r="V160" s="27"/>
      <c r="W160" s="33"/>
      <c r="X160" s="8"/>
      <c r="Y160" s="33"/>
      <c r="Z160" s="4"/>
      <c r="AA160" s="4"/>
      <c r="AB160" s="4"/>
      <c r="AC160" s="4"/>
      <c r="AD160" s="27"/>
    </row>
    <row r="161" spans="2:30" x14ac:dyDescent="0.35">
      <c r="B161" s="7">
        <v>46177</v>
      </c>
      <c r="C161" s="10"/>
      <c r="D161" s="4"/>
      <c r="E161" s="27"/>
      <c r="F161" s="33"/>
      <c r="G161" s="4"/>
      <c r="H161" s="27"/>
      <c r="I161" s="33"/>
      <c r="J161" s="4"/>
      <c r="K161" s="27"/>
      <c r="L161" s="33"/>
      <c r="M161" s="27"/>
      <c r="N161" s="33"/>
      <c r="O161" s="4"/>
      <c r="P161" s="8"/>
      <c r="Q161" s="33"/>
      <c r="R161" s="4"/>
      <c r="S161" s="27"/>
      <c r="T161" s="23"/>
      <c r="U161" s="4"/>
      <c r="V161" s="27"/>
      <c r="W161" s="33"/>
      <c r="X161" s="8"/>
      <c r="Y161" s="33"/>
      <c r="Z161" s="4"/>
      <c r="AA161" s="4"/>
      <c r="AB161" s="4"/>
      <c r="AC161" s="4"/>
      <c r="AD161" s="27"/>
    </row>
    <row r="162" spans="2:30" x14ac:dyDescent="0.35">
      <c r="B162" s="7">
        <v>46178</v>
      </c>
      <c r="C162" s="10"/>
      <c r="D162" s="4"/>
      <c r="E162" s="27"/>
      <c r="F162" s="33"/>
      <c r="G162" s="4"/>
      <c r="H162" s="27"/>
      <c r="I162" s="33"/>
      <c r="J162" s="4"/>
      <c r="K162" s="27"/>
      <c r="L162" s="33"/>
      <c r="M162" s="27"/>
      <c r="N162" s="33"/>
      <c r="O162" s="4"/>
      <c r="P162" s="8"/>
      <c r="Q162" s="33"/>
      <c r="R162" s="4"/>
      <c r="S162" s="27"/>
      <c r="T162" s="23"/>
      <c r="U162" s="4"/>
      <c r="V162" s="27"/>
      <c r="W162" s="33"/>
      <c r="X162" s="8"/>
      <c r="Y162" s="33"/>
      <c r="Z162" s="4"/>
      <c r="AA162" s="4"/>
      <c r="AB162" s="4"/>
      <c r="AC162" s="4"/>
      <c r="AD162" s="27"/>
    </row>
    <row r="163" spans="2:30" x14ac:dyDescent="0.35">
      <c r="B163" s="7">
        <v>46179</v>
      </c>
      <c r="C163" s="10"/>
      <c r="D163" s="4"/>
      <c r="E163" s="27"/>
      <c r="F163" s="33"/>
      <c r="G163" s="4"/>
      <c r="H163" s="27"/>
      <c r="I163" s="33"/>
      <c r="J163" s="4"/>
      <c r="K163" s="27"/>
      <c r="L163" s="33"/>
      <c r="M163" s="27"/>
      <c r="N163" s="33"/>
      <c r="O163" s="4"/>
      <c r="P163" s="8"/>
      <c r="Q163" s="33"/>
      <c r="R163" s="4"/>
      <c r="S163" s="27"/>
      <c r="T163" s="23"/>
      <c r="U163" s="4"/>
      <c r="V163" s="27"/>
      <c r="W163" s="33"/>
      <c r="X163" s="8"/>
      <c r="Y163" s="33"/>
      <c r="Z163" s="4"/>
      <c r="AA163" s="4"/>
      <c r="AB163" s="4"/>
      <c r="AC163" s="4"/>
      <c r="AD163" s="27"/>
    </row>
    <row r="164" spans="2:30" x14ac:dyDescent="0.35">
      <c r="B164" s="7">
        <v>46180</v>
      </c>
      <c r="C164" s="10"/>
      <c r="D164" s="4"/>
      <c r="E164" s="27"/>
      <c r="F164" s="33"/>
      <c r="G164" s="4"/>
      <c r="H164" s="27"/>
      <c r="I164" s="33"/>
      <c r="J164" s="4"/>
      <c r="K164" s="27"/>
      <c r="L164" s="33"/>
      <c r="M164" s="27"/>
      <c r="N164" s="33"/>
      <c r="O164" s="4"/>
      <c r="P164" s="8"/>
      <c r="Q164" s="33"/>
      <c r="R164" s="4"/>
      <c r="S164" s="27"/>
      <c r="T164" s="23"/>
      <c r="U164" s="4"/>
      <c r="V164" s="27"/>
      <c r="W164" s="33"/>
      <c r="X164" s="8"/>
      <c r="Y164" s="33"/>
      <c r="Z164" s="4"/>
      <c r="AA164" s="4"/>
      <c r="AB164" s="4"/>
      <c r="AC164" s="4"/>
      <c r="AD164" s="27"/>
    </row>
    <row r="165" spans="2:30" x14ac:dyDescent="0.35">
      <c r="B165" s="7">
        <v>46181</v>
      </c>
      <c r="C165" s="10"/>
      <c r="D165" s="4"/>
      <c r="E165" s="27"/>
      <c r="F165" s="33"/>
      <c r="G165" s="4"/>
      <c r="H165" s="27"/>
      <c r="I165" s="33"/>
      <c r="J165" s="4"/>
      <c r="K165" s="27"/>
      <c r="L165" s="33"/>
      <c r="M165" s="27"/>
      <c r="N165" s="33"/>
      <c r="O165" s="4"/>
      <c r="P165" s="8"/>
      <c r="Q165" s="33"/>
      <c r="R165" s="4"/>
      <c r="S165" s="27"/>
      <c r="T165" s="23"/>
      <c r="U165" s="4"/>
      <c r="V165" s="27"/>
      <c r="W165" s="33"/>
      <c r="X165" s="8"/>
      <c r="Y165" s="33"/>
      <c r="Z165" s="4"/>
      <c r="AA165" s="4"/>
      <c r="AB165" s="4"/>
      <c r="AC165" s="4"/>
      <c r="AD165" s="27"/>
    </row>
    <row r="166" spans="2:30" x14ac:dyDescent="0.35">
      <c r="B166" s="7">
        <v>46182</v>
      </c>
      <c r="C166" s="10"/>
      <c r="D166" s="4"/>
      <c r="E166" s="27"/>
      <c r="F166" s="33"/>
      <c r="G166" s="4"/>
      <c r="H166" s="27"/>
      <c r="I166" s="33"/>
      <c r="J166" s="4"/>
      <c r="K166" s="27"/>
      <c r="L166" s="33"/>
      <c r="M166" s="27"/>
      <c r="N166" s="33"/>
      <c r="O166" s="4"/>
      <c r="P166" s="8"/>
      <c r="Q166" s="33"/>
      <c r="R166" s="4"/>
      <c r="S166" s="27"/>
      <c r="T166" s="23"/>
      <c r="U166" s="4"/>
      <c r="V166" s="27"/>
      <c r="W166" s="33"/>
      <c r="X166" s="8"/>
      <c r="Y166" s="33"/>
      <c r="Z166" s="4"/>
      <c r="AA166" s="4"/>
      <c r="AB166" s="4"/>
      <c r="AC166" s="4"/>
      <c r="AD166" s="27"/>
    </row>
    <row r="167" spans="2:30" x14ac:dyDescent="0.35">
      <c r="B167" s="7">
        <v>46183</v>
      </c>
      <c r="C167" s="10"/>
      <c r="D167" s="4"/>
      <c r="E167" s="27"/>
      <c r="F167" s="33"/>
      <c r="G167" s="4"/>
      <c r="H167" s="27"/>
      <c r="I167" s="33"/>
      <c r="J167" s="4"/>
      <c r="K167" s="27"/>
      <c r="L167" s="33"/>
      <c r="M167" s="27"/>
      <c r="N167" s="33"/>
      <c r="O167" s="4"/>
      <c r="P167" s="8"/>
      <c r="Q167" s="33"/>
      <c r="R167" s="4"/>
      <c r="S167" s="27"/>
      <c r="T167" s="23"/>
      <c r="U167" s="4"/>
      <c r="V167" s="27"/>
      <c r="W167" s="33"/>
      <c r="X167" s="8"/>
      <c r="Y167" s="33"/>
      <c r="Z167" s="4"/>
      <c r="AA167" s="4"/>
      <c r="AB167" s="4"/>
      <c r="AC167" s="4"/>
      <c r="AD167" s="27"/>
    </row>
    <row r="168" spans="2:30" x14ac:dyDescent="0.35">
      <c r="B168" s="7">
        <v>46184</v>
      </c>
      <c r="C168" s="10"/>
      <c r="D168" s="4"/>
      <c r="E168" s="27"/>
      <c r="F168" s="33"/>
      <c r="G168" s="4"/>
      <c r="H168" s="27"/>
      <c r="I168" s="33"/>
      <c r="J168" s="4"/>
      <c r="K168" s="27"/>
      <c r="L168" s="33"/>
      <c r="M168" s="27"/>
      <c r="N168" s="33"/>
      <c r="O168" s="4"/>
      <c r="P168" s="8"/>
      <c r="Q168" s="33"/>
      <c r="R168" s="4"/>
      <c r="S168" s="27"/>
      <c r="T168" s="23"/>
      <c r="U168" s="4"/>
      <c r="V168" s="27"/>
      <c r="W168" s="33"/>
      <c r="X168" s="8"/>
      <c r="Y168" s="33"/>
      <c r="Z168" s="4"/>
      <c r="AA168" s="4"/>
      <c r="AB168" s="4"/>
      <c r="AC168" s="4"/>
      <c r="AD168" s="27"/>
    </row>
    <row r="169" spans="2:30" x14ac:dyDescent="0.35">
      <c r="B169" s="7">
        <v>46185</v>
      </c>
      <c r="C169" s="10"/>
      <c r="D169" s="4"/>
      <c r="E169" s="27"/>
      <c r="F169" s="33"/>
      <c r="G169" s="4"/>
      <c r="H169" s="27"/>
      <c r="I169" s="33"/>
      <c r="J169" s="4"/>
      <c r="K169" s="27"/>
      <c r="L169" s="33"/>
      <c r="M169" s="27"/>
      <c r="N169" s="33"/>
      <c r="O169" s="4"/>
      <c r="P169" s="8"/>
      <c r="Q169" s="33"/>
      <c r="R169" s="4"/>
      <c r="S169" s="27"/>
      <c r="T169" s="23"/>
      <c r="U169" s="4"/>
      <c r="V169" s="27"/>
      <c r="W169" s="33"/>
      <c r="X169" s="8"/>
      <c r="Y169" s="33"/>
      <c r="Z169" s="4"/>
      <c r="AA169" s="4"/>
      <c r="AB169" s="4"/>
      <c r="AC169" s="4"/>
      <c r="AD169" s="27"/>
    </row>
    <row r="170" spans="2:30" x14ac:dyDescent="0.35">
      <c r="B170" s="7">
        <v>46186</v>
      </c>
      <c r="C170" s="10"/>
      <c r="D170" s="4"/>
      <c r="E170" s="27"/>
      <c r="F170" s="33"/>
      <c r="G170" s="4"/>
      <c r="H170" s="27"/>
      <c r="I170" s="33"/>
      <c r="J170" s="4"/>
      <c r="K170" s="27"/>
      <c r="L170" s="33"/>
      <c r="M170" s="27"/>
      <c r="N170" s="33"/>
      <c r="O170" s="4"/>
      <c r="P170" s="8"/>
      <c r="Q170" s="33"/>
      <c r="R170" s="4"/>
      <c r="S170" s="27"/>
      <c r="T170" s="23"/>
      <c r="U170" s="4"/>
      <c r="V170" s="27"/>
      <c r="W170" s="33"/>
      <c r="X170" s="8"/>
      <c r="Y170" s="33"/>
      <c r="Z170" s="4"/>
      <c r="AA170" s="4"/>
      <c r="AB170" s="4"/>
      <c r="AC170" s="4"/>
      <c r="AD170" s="27"/>
    </row>
    <row r="171" spans="2:30" x14ac:dyDescent="0.35">
      <c r="B171" s="7">
        <v>46187</v>
      </c>
      <c r="C171" s="10"/>
      <c r="D171" s="4"/>
      <c r="E171" s="27"/>
      <c r="F171" s="33"/>
      <c r="G171" s="4"/>
      <c r="H171" s="27"/>
      <c r="I171" s="33"/>
      <c r="J171" s="4"/>
      <c r="K171" s="27"/>
      <c r="L171" s="33"/>
      <c r="M171" s="27"/>
      <c r="N171" s="33"/>
      <c r="O171" s="4"/>
      <c r="P171" s="8"/>
      <c r="Q171" s="33"/>
      <c r="R171" s="4"/>
      <c r="S171" s="27"/>
      <c r="T171" s="23"/>
      <c r="U171" s="4"/>
      <c r="V171" s="27"/>
      <c r="W171" s="33"/>
      <c r="X171" s="8"/>
      <c r="Y171" s="33"/>
      <c r="Z171" s="4"/>
      <c r="AA171" s="4"/>
      <c r="AB171" s="4"/>
      <c r="AC171" s="4"/>
      <c r="AD171" s="27"/>
    </row>
    <row r="172" spans="2:30" x14ac:dyDescent="0.35">
      <c r="B172" s="7">
        <v>46188</v>
      </c>
      <c r="C172" s="10"/>
      <c r="D172" s="4"/>
      <c r="E172" s="27"/>
      <c r="F172" s="33"/>
      <c r="G172" s="4"/>
      <c r="H172" s="27"/>
      <c r="I172" s="33"/>
      <c r="J172" s="4"/>
      <c r="K172" s="27"/>
      <c r="L172" s="33"/>
      <c r="M172" s="27"/>
      <c r="N172" s="33"/>
      <c r="O172" s="4"/>
      <c r="P172" s="8"/>
      <c r="Q172" s="33"/>
      <c r="R172" s="4"/>
      <c r="S172" s="27"/>
      <c r="T172" s="23"/>
      <c r="U172" s="4"/>
      <c r="V172" s="27"/>
      <c r="W172" s="33"/>
      <c r="X172" s="8"/>
      <c r="Y172" s="33"/>
      <c r="Z172" s="4"/>
      <c r="AA172" s="4"/>
      <c r="AB172" s="4"/>
      <c r="AC172" s="4"/>
      <c r="AD172" s="27"/>
    </row>
    <row r="173" spans="2:30" x14ac:dyDescent="0.35">
      <c r="B173" s="7">
        <v>46189</v>
      </c>
      <c r="C173" s="10"/>
      <c r="D173" s="4"/>
      <c r="E173" s="27"/>
      <c r="F173" s="33"/>
      <c r="G173" s="4"/>
      <c r="H173" s="27"/>
      <c r="I173" s="33"/>
      <c r="J173" s="4"/>
      <c r="K173" s="27"/>
      <c r="L173" s="33"/>
      <c r="M173" s="27"/>
      <c r="N173" s="33"/>
      <c r="O173" s="4"/>
      <c r="P173" s="8"/>
      <c r="Q173" s="33"/>
      <c r="R173" s="4"/>
      <c r="S173" s="27"/>
      <c r="T173" s="23"/>
      <c r="U173" s="4"/>
      <c r="V173" s="27"/>
      <c r="W173" s="33"/>
      <c r="X173" s="8"/>
      <c r="Y173" s="33"/>
      <c r="Z173" s="4"/>
      <c r="AA173" s="4"/>
      <c r="AB173" s="4"/>
      <c r="AC173" s="4"/>
      <c r="AD173" s="27"/>
    </row>
    <row r="174" spans="2:30" x14ac:dyDescent="0.35">
      <c r="B174" s="7">
        <v>46190</v>
      </c>
      <c r="C174" s="10"/>
      <c r="D174" s="4"/>
      <c r="E174" s="27"/>
      <c r="F174" s="33"/>
      <c r="G174" s="4"/>
      <c r="H174" s="27"/>
      <c r="I174" s="33"/>
      <c r="J174" s="4"/>
      <c r="K174" s="27"/>
      <c r="L174" s="33"/>
      <c r="M174" s="27"/>
      <c r="N174" s="33"/>
      <c r="O174" s="4"/>
      <c r="P174" s="8"/>
      <c r="Q174" s="33"/>
      <c r="R174" s="4"/>
      <c r="S174" s="27"/>
      <c r="T174" s="23"/>
      <c r="U174" s="4"/>
      <c r="V174" s="27"/>
      <c r="W174" s="33"/>
      <c r="X174" s="8"/>
      <c r="Y174" s="33"/>
      <c r="Z174" s="4"/>
      <c r="AA174" s="4"/>
      <c r="AB174" s="4"/>
      <c r="AC174" s="4"/>
      <c r="AD174" s="27"/>
    </row>
    <row r="175" spans="2:30" x14ac:dyDescent="0.35">
      <c r="B175" s="7">
        <v>46191</v>
      </c>
      <c r="C175" s="10"/>
      <c r="D175" s="4"/>
      <c r="E175" s="27"/>
      <c r="F175" s="33"/>
      <c r="G175" s="4"/>
      <c r="H175" s="27"/>
      <c r="I175" s="33"/>
      <c r="J175" s="4"/>
      <c r="K175" s="27"/>
      <c r="L175" s="33"/>
      <c r="M175" s="27"/>
      <c r="N175" s="33"/>
      <c r="O175" s="4"/>
      <c r="P175" s="8"/>
      <c r="Q175" s="33"/>
      <c r="R175" s="4"/>
      <c r="S175" s="27"/>
      <c r="T175" s="23"/>
      <c r="U175" s="4"/>
      <c r="V175" s="27"/>
      <c r="W175" s="33"/>
      <c r="X175" s="8"/>
      <c r="Y175" s="33"/>
      <c r="Z175" s="4"/>
      <c r="AA175" s="4"/>
      <c r="AB175" s="4"/>
      <c r="AC175" s="4"/>
      <c r="AD175" s="27"/>
    </row>
    <row r="176" spans="2:30" x14ac:dyDescent="0.35">
      <c r="B176" s="7">
        <v>46192</v>
      </c>
      <c r="C176" s="10"/>
      <c r="D176" s="4"/>
      <c r="E176" s="27"/>
      <c r="F176" s="33"/>
      <c r="G176" s="4"/>
      <c r="H176" s="27"/>
      <c r="I176" s="33"/>
      <c r="J176" s="4"/>
      <c r="K176" s="27"/>
      <c r="L176" s="33"/>
      <c r="M176" s="27"/>
      <c r="N176" s="33"/>
      <c r="O176" s="4"/>
      <c r="P176" s="8"/>
      <c r="Q176" s="33"/>
      <c r="R176" s="4"/>
      <c r="S176" s="27"/>
      <c r="T176" s="23"/>
      <c r="U176" s="4"/>
      <c r="V176" s="27"/>
      <c r="W176" s="33"/>
      <c r="X176" s="8"/>
      <c r="Y176" s="33"/>
      <c r="Z176" s="4"/>
      <c r="AA176" s="4"/>
      <c r="AB176" s="4"/>
      <c r="AC176" s="4"/>
      <c r="AD176" s="27"/>
    </row>
    <row r="177" spans="2:30" x14ac:dyDescent="0.35">
      <c r="B177" s="7">
        <v>46193</v>
      </c>
      <c r="C177" s="10"/>
      <c r="D177" s="4"/>
      <c r="E177" s="27"/>
      <c r="F177" s="33"/>
      <c r="G177" s="4"/>
      <c r="H177" s="27"/>
      <c r="I177" s="33"/>
      <c r="J177" s="4"/>
      <c r="K177" s="27"/>
      <c r="L177" s="33"/>
      <c r="M177" s="27"/>
      <c r="N177" s="33"/>
      <c r="O177" s="4"/>
      <c r="P177" s="8"/>
      <c r="Q177" s="33"/>
      <c r="R177" s="4"/>
      <c r="S177" s="27"/>
      <c r="T177" s="23"/>
      <c r="U177" s="4"/>
      <c r="V177" s="27"/>
      <c r="W177" s="33"/>
      <c r="X177" s="8"/>
      <c r="Y177" s="33"/>
      <c r="Z177" s="4"/>
      <c r="AA177" s="4"/>
      <c r="AB177" s="4"/>
      <c r="AC177" s="4"/>
      <c r="AD177" s="27"/>
    </row>
    <row r="178" spans="2:30" x14ac:dyDescent="0.35">
      <c r="B178" s="7">
        <v>46194</v>
      </c>
      <c r="C178" s="10"/>
      <c r="D178" s="4"/>
      <c r="E178" s="27"/>
      <c r="F178" s="33"/>
      <c r="G178" s="4"/>
      <c r="H178" s="27"/>
      <c r="I178" s="33"/>
      <c r="J178" s="4"/>
      <c r="K178" s="27"/>
      <c r="L178" s="33"/>
      <c r="M178" s="27"/>
      <c r="N178" s="33"/>
      <c r="O178" s="4"/>
      <c r="P178" s="8"/>
      <c r="Q178" s="33"/>
      <c r="R178" s="4"/>
      <c r="S178" s="27"/>
      <c r="T178" s="23"/>
      <c r="U178" s="4"/>
      <c r="V178" s="27"/>
      <c r="W178" s="33"/>
      <c r="X178" s="8"/>
      <c r="Y178" s="33"/>
      <c r="Z178" s="4"/>
      <c r="AA178" s="4"/>
      <c r="AB178" s="4"/>
      <c r="AC178" s="4"/>
      <c r="AD178" s="27"/>
    </row>
    <row r="179" spans="2:30" x14ac:dyDescent="0.35">
      <c r="B179" s="7">
        <v>46195</v>
      </c>
      <c r="C179" s="10"/>
      <c r="D179" s="4"/>
      <c r="E179" s="27"/>
      <c r="F179" s="33"/>
      <c r="G179" s="4"/>
      <c r="H179" s="27"/>
      <c r="I179" s="33"/>
      <c r="J179" s="4"/>
      <c r="K179" s="27"/>
      <c r="L179" s="33"/>
      <c r="M179" s="27"/>
      <c r="N179" s="33"/>
      <c r="O179" s="4"/>
      <c r="P179" s="8"/>
      <c r="Q179" s="33"/>
      <c r="R179" s="4"/>
      <c r="S179" s="27"/>
      <c r="T179" s="23"/>
      <c r="U179" s="4"/>
      <c r="V179" s="27"/>
      <c r="W179" s="33"/>
      <c r="X179" s="8"/>
      <c r="Y179" s="33"/>
      <c r="Z179" s="4"/>
      <c r="AA179" s="4"/>
      <c r="AB179" s="4"/>
      <c r="AC179" s="4"/>
      <c r="AD179" s="27"/>
    </row>
    <row r="180" spans="2:30" x14ac:dyDescent="0.35">
      <c r="B180" s="7">
        <v>46196</v>
      </c>
      <c r="C180" s="10"/>
      <c r="D180" s="4"/>
      <c r="E180" s="27"/>
      <c r="F180" s="33"/>
      <c r="G180" s="4"/>
      <c r="H180" s="27"/>
      <c r="I180" s="33"/>
      <c r="J180" s="4"/>
      <c r="K180" s="27"/>
      <c r="L180" s="33"/>
      <c r="M180" s="27"/>
      <c r="N180" s="33"/>
      <c r="O180" s="4"/>
      <c r="P180" s="8"/>
      <c r="Q180" s="33"/>
      <c r="R180" s="4"/>
      <c r="S180" s="27"/>
      <c r="T180" s="23"/>
      <c r="U180" s="4"/>
      <c r="V180" s="27"/>
      <c r="W180" s="33"/>
      <c r="X180" s="8"/>
      <c r="Y180" s="33"/>
      <c r="Z180" s="4"/>
      <c r="AA180" s="4"/>
      <c r="AB180" s="4"/>
      <c r="AC180" s="4"/>
      <c r="AD180" s="27"/>
    </row>
    <row r="181" spans="2:30" x14ac:dyDescent="0.35">
      <c r="B181" s="7">
        <v>46197</v>
      </c>
      <c r="C181" s="10"/>
      <c r="D181" s="4"/>
      <c r="E181" s="27"/>
      <c r="F181" s="33"/>
      <c r="G181" s="4"/>
      <c r="H181" s="27"/>
      <c r="I181" s="33"/>
      <c r="J181" s="4"/>
      <c r="K181" s="27"/>
      <c r="L181" s="33"/>
      <c r="M181" s="27"/>
      <c r="N181" s="33"/>
      <c r="O181" s="4"/>
      <c r="P181" s="8"/>
      <c r="Q181" s="33"/>
      <c r="R181" s="4"/>
      <c r="S181" s="27"/>
      <c r="T181" s="23"/>
      <c r="U181" s="4"/>
      <c r="V181" s="27"/>
      <c r="W181" s="33"/>
      <c r="X181" s="8"/>
      <c r="Y181" s="33"/>
      <c r="Z181" s="4"/>
      <c r="AA181" s="4"/>
      <c r="AB181" s="4"/>
      <c r="AC181" s="4"/>
      <c r="AD181" s="27"/>
    </row>
    <row r="182" spans="2:30" x14ac:dyDescent="0.35">
      <c r="B182" s="7">
        <v>46198</v>
      </c>
      <c r="C182" s="10"/>
      <c r="D182" s="4"/>
      <c r="E182" s="27"/>
      <c r="F182" s="33"/>
      <c r="G182" s="4"/>
      <c r="H182" s="27"/>
      <c r="I182" s="33"/>
      <c r="J182" s="4"/>
      <c r="K182" s="27"/>
      <c r="L182" s="33"/>
      <c r="M182" s="27"/>
      <c r="N182" s="33"/>
      <c r="O182" s="4"/>
      <c r="P182" s="8"/>
      <c r="Q182" s="33"/>
      <c r="R182" s="4"/>
      <c r="S182" s="27"/>
      <c r="T182" s="23"/>
      <c r="U182" s="4"/>
      <c r="V182" s="27"/>
      <c r="W182" s="33"/>
      <c r="X182" s="8"/>
      <c r="Y182" s="33"/>
      <c r="Z182" s="4"/>
      <c r="AA182" s="4"/>
      <c r="AB182" s="4"/>
      <c r="AC182" s="4"/>
      <c r="AD182" s="27"/>
    </row>
    <row r="183" spans="2:30" x14ac:dyDescent="0.35">
      <c r="B183" s="7">
        <v>46199</v>
      </c>
      <c r="C183" s="10"/>
      <c r="D183" s="4"/>
      <c r="E183" s="27"/>
      <c r="F183" s="33"/>
      <c r="G183" s="4"/>
      <c r="H183" s="27"/>
      <c r="I183" s="33"/>
      <c r="J183" s="4"/>
      <c r="K183" s="27"/>
      <c r="L183" s="33"/>
      <c r="M183" s="27"/>
      <c r="N183" s="33"/>
      <c r="O183" s="4"/>
      <c r="P183" s="8"/>
      <c r="Q183" s="33"/>
      <c r="R183" s="4"/>
      <c r="S183" s="27"/>
      <c r="T183" s="23"/>
      <c r="U183" s="4"/>
      <c r="V183" s="27"/>
      <c r="W183" s="33"/>
      <c r="X183" s="8"/>
      <c r="Y183" s="33"/>
      <c r="Z183" s="4"/>
      <c r="AA183" s="4"/>
      <c r="AB183" s="4"/>
      <c r="AC183" s="4"/>
      <c r="AD183" s="27"/>
    </row>
    <row r="184" spans="2:30" x14ac:dyDescent="0.35">
      <c r="B184" s="7">
        <v>46200</v>
      </c>
      <c r="C184" s="10"/>
      <c r="D184" s="4"/>
      <c r="E184" s="27"/>
      <c r="F184" s="33"/>
      <c r="G184" s="4"/>
      <c r="H184" s="27"/>
      <c r="I184" s="33"/>
      <c r="J184" s="4"/>
      <c r="K184" s="27"/>
      <c r="L184" s="33"/>
      <c r="M184" s="27"/>
      <c r="N184" s="33"/>
      <c r="O184" s="4"/>
      <c r="P184" s="8"/>
      <c r="Q184" s="33"/>
      <c r="R184" s="4"/>
      <c r="S184" s="27"/>
      <c r="T184" s="23"/>
      <c r="U184" s="4"/>
      <c r="V184" s="27"/>
      <c r="W184" s="33"/>
      <c r="X184" s="8"/>
      <c r="Y184" s="33"/>
      <c r="Z184" s="4"/>
      <c r="AA184" s="4"/>
      <c r="AB184" s="4"/>
      <c r="AC184" s="4"/>
      <c r="AD184" s="27"/>
    </row>
    <row r="185" spans="2:30" x14ac:dyDescent="0.35">
      <c r="B185" s="7">
        <v>46201</v>
      </c>
      <c r="C185" s="10"/>
      <c r="D185" s="4"/>
      <c r="E185" s="27"/>
      <c r="F185" s="33"/>
      <c r="G185" s="4"/>
      <c r="H185" s="27"/>
      <c r="I185" s="33"/>
      <c r="J185" s="4"/>
      <c r="K185" s="27"/>
      <c r="L185" s="33"/>
      <c r="M185" s="27"/>
      <c r="N185" s="33"/>
      <c r="O185" s="4"/>
      <c r="P185" s="8"/>
      <c r="Q185" s="33"/>
      <c r="R185" s="4"/>
      <c r="S185" s="27"/>
      <c r="T185" s="23"/>
      <c r="U185" s="4"/>
      <c r="V185" s="27"/>
      <c r="W185" s="33"/>
      <c r="X185" s="8"/>
      <c r="Y185" s="33"/>
      <c r="Z185" s="4"/>
      <c r="AA185" s="4"/>
      <c r="AB185" s="4"/>
      <c r="AC185" s="4"/>
      <c r="AD185" s="27"/>
    </row>
    <row r="186" spans="2:30" x14ac:dyDescent="0.35">
      <c r="B186" s="7">
        <v>46202</v>
      </c>
      <c r="C186" s="10"/>
      <c r="D186" s="4"/>
      <c r="E186" s="27"/>
      <c r="F186" s="33"/>
      <c r="G186" s="4"/>
      <c r="H186" s="27"/>
      <c r="I186" s="33"/>
      <c r="J186" s="4"/>
      <c r="K186" s="27"/>
      <c r="L186" s="33"/>
      <c r="M186" s="27"/>
      <c r="N186" s="33"/>
      <c r="O186" s="4"/>
      <c r="P186" s="8"/>
      <c r="Q186" s="33"/>
      <c r="R186" s="4"/>
      <c r="S186" s="27"/>
      <c r="T186" s="23"/>
      <c r="U186" s="4"/>
      <c r="V186" s="27"/>
      <c r="W186" s="33"/>
      <c r="X186" s="8"/>
      <c r="Y186" s="33"/>
      <c r="Z186" s="4"/>
      <c r="AA186" s="4"/>
      <c r="AB186" s="4"/>
      <c r="AC186" s="4"/>
      <c r="AD186" s="27"/>
    </row>
    <row r="187" spans="2:30" ht="15" thickBot="1" x14ac:dyDescent="0.4">
      <c r="B187" s="7">
        <v>46203</v>
      </c>
      <c r="C187" s="13"/>
      <c r="D187" s="28"/>
      <c r="E187" s="29"/>
      <c r="F187" s="34"/>
      <c r="G187" s="28"/>
      <c r="H187" s="29"/>
      <c r="I187" s="34"/>
      <c r="J187" s="28"/>
      <c r="K187" s="29"/>
      <c r="L187" s="34"/>
      <c r="M187" s="29"/>
      <c r="N187" s="34"/>
      <c r="O187" s="28"/>
      <c r="P187" s="41"/>
      <c r="Q187" s="34"/>
      <c r="R187" s="28"/>
      <c r="S187" s="29"/>
      <c r="T187" s="43"/>
      <c r="U187" s="28"/>
      <c r="V187" s="29"/>
      <c r="W187" s="34"/>
      <c r="X187" s="41"/>
      <c r="Y187" s="34"/>
      <c r="Z187" s="28"/>
      <c r="AA187" s="28"/>
      <c r="AB187" s="28"/>
      <c r="AC187" s="28"/>
      <c r="AD187" s="29"/>
    </row>
  </sheetData>
  <mergeCells count="13">
    <mergeCell ref="B1:H1"/>
    <mergeCell ref="I4:K4"/>
    <mergeCell ref="T4:V4"/>
    <mergeCell ref="W4:X4"/>
    <mergeCell ref="C3:M3"/>
    <mergeCell ref="C4:E4"/>
    <mergeCell ref="F4:H4"/>
    <mergeCell ref="L4:M4"/>
    <mergeCell ref="Y3:AD3"/>
    <mergeCell ref="Y4:AD4"/>
    <mergeCell ref="N3:X3"/>
    <mergeCell ref="N4:P4"/>
    <mergeCell ref="Q4:S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4cef0f4-eafa-4d81-8186-59fb8a06316c}" enabled="0" method="" siteId="{84cef0f4-eafa-4d81-8186-59fb8a06316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Information</vt:lpstr>
      <vt:lpstr>Production vs Evacuation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Abiba Badmus</dc:creator>
  <cp:lastModifiedBy>Abiba Badmus</cp:lastModifiedBy>
  <dcterms:created xsi:type="dcterms:W3CDTF">2026-05-16T20:33:19Z</dcterms:created>
  <dcterms:modified xsi:type="dcterms:W3CDTF">2026-05-16T23:57:44Z</dcterms:modified>
</cp:coreProperties>
</file>